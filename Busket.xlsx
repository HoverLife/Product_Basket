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koro\Downloads\ped\"/>
    </mc:Choice>
  </mc:AlternateContent>
  <bookViews>
    <workbookView xWindow="0" yWindow="0" windowWidth="23040" windowHeight="8820" activeTab="1"/>
  </bookViews>
  <sheets>
    <sheet name="Sheet" sheetId="1" r:id="rId1"/>
    <sheet name="Лист3" sheetId="4" r:id="rId2"/>
    <sheet name="Лист2" sheetId="3" r:id="rId3"/>
    <sheet name="Лист1" sheetId="2" r:id="rId4"/>
  </sheets>
  <calcPr calcId="162913"/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2" i="1"/>
  <c r="T3" i="1"/>
  <c r="U3" i="1"/>
  <c r="V3" i="1"/>
  <c r="W3" i="1"/>
  <c r="X3" i="1"/>
  <c r="Y3" i="1"/>
  <c r="Z3" i="1"/>
  <c r="AA3" i="1"/>
  <c r="AB3" i="1"/>
  <c r="AC3" i="1"/>
  <c r="AD3" i="1"/>
  <c r="T4" i="1"/>
  <c r="U4" i="1"/>
  <c r="V4" i="1"/>
  <c r="W4" i="1"/>
  <c r="X4" i="1"/>
  <c r="Y4" i="1"/>
  <c r="Z4" i="1"/>
  <c r="AA4" i="1"/>
  <c r="AB4" i="1"/>
  <c r="AC4" i="1"/>
  <c r="AD4" i="1"/>
  <c r="T5" i="1"/>
  <c r="U5" i="1"/>
  <c r="V5" i="1"/>
  <c r="W5" i="1"/>
  <c r="X5" i="1"/>
  <c r="Y5" i="1"/>
  <c r="Z5" i="1"/>
  <c r="AA5" i="1"/>
  <c r="AB5" i="1"/>
  <c r="AC5" i="1"/>
  <c r="AD5" i="1"/>
  <c r="T6" i="1"/>
  <c r="U6" i="1"/>
  <c r="V6" i="1"/>
  <c r="W6" i="1"/>
  <c r="X6" i="1"/>
  <c r="Y6" i="1"/>
  <c r="Z6" i="1"/>
  <c r="AA6" i="1"/>
  <c r="AB6" i="1"/>
  <c r="AC6" i="1"/>
  <c r="AD6" i="1"/>
  <c r="T7" i="1"/>
  <c r="U7" i="1"/>
  <c r="V7" i="1"/>
  <c r="W7" i="1"/>
  <c r="X7" i="1"/>
  <c r="Y7" i="1"/>
  <c r="Z7" i="1"/>
  <c r="AA7" i="1"/>
  <c r="AB7" i="1"/>
  <c r="AC7" i="1"/>
  <c r="AD7" i="1"/>
  <c r="T8" i="1"/>
  <c r="U8" i="1"/>
  <c r="V8" i="1"/>
  <c r="W8" i="1"/>
  <c r="X8" i="1"/>
  <c r="Y8" i="1"/>
  <c r="Z8" i="1"/>
  <c r="AA8" i="1"/>
  <c r="AB8" i="1"/>
  <c r="AC8" i="1"/>
  <c r="AD8" i="1"/>
  <c r="T9" i="1"/>
  <c r="U9" i="1"/>
  <c r="V9" i="1"/>
  <c r="W9" i="1"/>
  <c r="X9" i="1"/>
  <c r="Y9" i="1"/>
  <c r="Z9" i="1"/>
  <c r="AA9" i="1"/>
  <c r="AB9" i="1"/>
  <c r="AC9" i="1"/>
  <c r="AD9" i="1"/>
  <c r="T10" i="1"/>
  <c r="U10" i="1"/>
  <c r="V10" i="1"/>
  <c r="W10" i="1"/>
  <c r="X10" i="1"/>
  <c r="Y10" i="1"/>
  <c r="Z10" i="1"/>
  <c r="AA10" i="1"/>
  <c r="AB10" i="1"/>
  <c r="AC10" i="1"/>
  <c r="AD10" i="1"/>
  <c r="T11" i="1"/>
  <c r="U11" i="1"/>
  <c r="V11" i="1"/>
  <c r="W11" i="1"/>
  <c r="X11" i="1"/>
  <c r="Y11" i="1"/>
  <c r="Z11" i="1"/>
  <c r="AA11" i="1"/>
  <c r="AB11" i="1"/>
  <c r="AC11" i="1"/>
  <c r="AD11" i="1"/>
  <c r="T12" i="1"/>
  <c r="U12" i="1"/>
  <c r="V12" i="1"/>
  <c r="W12" i="1"/>
  <c r="X12" i="1"/>
  <c r="Y12" i="1"/>
  <c r="Z12" i="1"/>
  <c r="AA12" i="1"/>
  <c r="AB12" i="1"/>
  <c r="AC12" i="1"/>
  <c r="AD12" i="1"/>
  <c r="T13" i="1"/>
  <c r="U13" i="1"/>
  <c r="V13" i="1"/>
  <c r="W13" i="1"/>
  <c r="X13" i="1"/>
  <c r="Y13" i="1"/>
  <c r="Z13" i="1"/>
  <c r="AA13" i="1"/>
  <c r="AB13" i="1"/>
  <c r="AC13" i="1"/>
  <c r="AD13" i="1"/>
  <c r="T14" i="1"/>
  <c r="U14" i="1"/>
  <c r="V14" i="1"/>
  <c r="W14" i="1"/>
  <c r="X14" i="1"/>
  <c r="Y14" i="1"/>
  <c r="Z14" i="1"/>
  <c r="AA14" i="1"/>
  <c r="AB14" i="1"/>
  <c r="AC14" i="1"/>
  <c r="AD14" i="1"/>
  <c r="T15" i="1"/>
  <c r="U15" i="1"/>
  <c r="V15" i="1"/>
  <c r="W15" i="1"/>
  <c r="X15" i="1"/>
  <c r="Y15" i="1"/>
  <c r="Z15" i="1"/>
  <c r="AA15" i="1"/>
  <c r="AB15" i="1"/>
  <c r="AC15" i="1"/>
  <c r="AD15" i="1"/>
  <c r="T16" i="1"/>
  <c r="U16" i="1"/>
  <c r="V16" i="1"/>
  <c r="W16" i="1"/>
  <c r="X16" i="1"/>
  <c r="Y16" i="1"/>
  <c r="Z16" i="1"/>
  <c r="AA16" i="1"/>
  <c r="AB16" i="1"/>
  <c r="AC16" i="1"/>
  <c r="AD16" i="1"/>
  <c r="T17" i="1"/>
  <c r="U17" i="1"/>
  <c r="V17" i="1"/>
  <c r="W17" i="1"/>
  <c r="X17" i="1"/>
  <c r="Y17" i="1"/>
  <c r="Z17" i="1"/>
  <c r="AA17" i="1"/>
  <c r="AB17" i="1"/>
  <c r="AC17" i="1"/>
  <c r="AD17" i="1"/>
  <c r="T18" i="1"/>
  <c r="U18" i="1"/>
  <c r="V18" i="1"/>
  <c r="W18" i="1"/>
  <c r="X18" i="1"/>
  <c r="Y18" i="1"/>
  <c r="Z18" i="1"/>
  <c r="AA18" i="1"/>
  <c r="AB18" i="1"/>
  <c r="AC18" i="1"/>
  <c r="AD18" i="1"/>
  <c r="T19" i="1"/>
  <c r="U19" i="1"/>
  <c r="V19" i="1"/>
  <c r="W19" i="1"/>
  <c r="X19" i="1"/>
  <c r="Y19" i="1"/>
  <c r="Z19" i="1"/>
  <c r="AA19" i="1"/>
  <c r="AB19" i="1"/>
  <c r="AC19" i="1"/>
  <c r="AD19" i="1"/>
  <c r="T20" i="1"/>
  <c r="U20" i="1"/>
  <c r="V20" i="1"/>
  <c r="W20" i="1"/>
  <c r="X20" i="1"/>
  <c r="Y20" i="1"/>
  <c r="Z20" i="1"/>
  <c r="AA20" i="1"/>
  <c r="AB20" i="1"/>
  <c r="AC20" i="1"/>
  <c r="AD20" i="1"/>
  <c r="T21" i="1"/>
  <c r="U21" i="1"/>
  <c r="V21" i="1"/>
  <c r="W21" i="1"/>
  <c r="X21" i="1"/>
  <c r="Y21" i="1"/>
  <c r="Z21" i="1"/>
  <c r="AA21" i="1"/>
  <c r="AB21" i="1"/>
  <c r="AC21" i="1"/>
  <c r="AD21" i="1"/>
  <c r="T22" i="1"/>
  <c r="U22" i="1"/>
  <c r="V22" i="1"/>
  <c r="W22" i="1"/>
  <c r="X22" i="1"/>
  <c r="Y22" i="1"/>
  <c r="Z22" i="1"/>
  <c r="AA22" i="1"/>
  <c r="AB22" i="1"/>
  <c r="AC22" i="1"/>
  <c r="AD22" i="1"/>
  <c r="T23" i="1"/>
  <c r="U23" i="1"/>
  <c r="V23" i="1"/>
  <c r="W23" i="1"/>
  <c r="X23" i="1"/>
  <c r="Y23" i="1"/>
  <c r="Z23" i="1"/>
  <c r="AA23" i="1"/>
  <c r="AB23" i="1"/>
  <c r="AC23" i="1"/>
  <c r="AD23" i="1"/>
  <c r="T24" i="1"/>
  <c r="U24" i="1"/>
  <c r="V24" i="1"/>
  <c r="W24" i="1"/>
  <c r="X24" i="1"/>
  <c r="Y24" i="1"/>
  <c r="Z24" i="1"/>
  <c r="AA24" i="1"/>
  <c r="AB24" i="1"/>
  <c r="AC24" i="1"/>
  <c r="AD24" i="1"/>
  <c r="T25" i="1"/>
  <c r="U25" i="1"/>
  <c r="V25" i="1"/>
  <c r="W25" i="1"/>
  <c r="X25" i="1"/>
  <c r="Y25" i="1"/>
  <c r="Z25" i="1"/>
  <c r="AA25" i="1"/>
  <c r="AB25" i="1"/>
  <c r="AC25" i="1"/>
  <c r="AD25" i="1"/>
  <c r="T26" i="1"/>
  <c r="U26" i="1"/>
  <c r="V26" i="1"/>
  <c r="W26" i="1"/>
  <c r="X26" i="1"/>
  <c r="Y26" i="1"/>
  <c r="Z26" i="1"/>
  <c r="AA26" i="1"/>
  <c r="AB26" i="1"/>
  <c r="AC26" i="1"/>
  <c r="AD26" i="1"/>
  <c r="T27" i="1"/>
  <c r="U27" i="1"/>
  <c r="V27" i="1"/>
  <c r="W27" i="1"/>
  <c r="X27" i="1"/>
  <c r="Y27" i="1"/>
  <c r="Z27" i="1"/>
  <c r="AA27" i="1"/>
  <c r="AB27" i="1"/>
  <c r="AC27" i="1"/>
  <c r="AD27" i="1"/>
  <c r="T28" i="1"/>
  <c r="U28" i="1"/>
  <c r="V28" i="1"/>
  <c r="W28" i="1"/>
  <c r="X28" i="1"/>
  <c r="Y28" i="1"/>
  <c r="Z28" i="1"/>
  <c r="AA28" i="1"/>
  <c r="AB28" i="1"/>
  <c r="AC28" i="1"/>
  <c r="AD28" i="1"/>
  <c r="T29" i="1"/>
  <c r="U29" i="1"/>
  <c r="V29" i="1"/>
  <c r="W29" i="1"/>
  <c r="X29" i="1"/>
  <c r="Y29" i="1"/>
  <c r="Z29" i="1"/>
  <c r="AA29" i="1"/>
  <c r="AB29" i="1"/>
  <c r="AC29" i="1"/>
  <c r="AD29" i="1"/>
  <c r="T30" i="1"/>
  <c r="U30" i="1"/>
  <c r="V30" i="1"/>
  <c r="W30" i="1"/>
  <c r="X30" i="1"/>
  <c r="Y30" i="1"/>
  <c r="Z30" i="1"/>
  <c r="AA30" i="1"/>
  <c r="AB30" i="1"/>
  <c r="AC30" i="1"/>
  <c r="AD30" i="1"/>
  <c r="T31" i="1"/>
  <c r="U31" i="1"/>
  <c r="V31" i="1"/>
  <c r="W31" i="1"/>
  <c r="X31" i="1"/>
  <c r="Y31" i="1"/>
  <c r="Z31" i="1"/>
  <c r="AA31" i="1"/>
  <c r="AB31" i="1"/>
  <c r="AC31" i="1"/>
  <c r="AD31" i="1"/>
  <c r="T32" i="1"/>
  <c r="U32" i="1"/>
  <c r="V32" i="1"/>
  <c r="W32" i="1"/>
  <c r="X32" i="1"/>
  <c r="Y32" i="1"/>
  <c r="Z32" i="1"/>
  <c r="AA32" i="1"/>
  <c r="AB32" i="1"/>
  <c r="AC32" i="1"/>
  <c r="AD32" i="1"/>
  <c r="T33" i="1"/>
  <c r="U33" i="1"/>
  <c r="V33" i="1"/>
  <c r="W33" i="1"/>
  <c r="X33" i="1"/>
  <c r="Y33" i="1"/>
  <c r="Z33" i="1"/>
  <c r="AA33" i="1"/>
  <c r="AB33" i="1"/>
  <c r="AC33" i="1"/>
  <c r="AD33" i="1"/>
  <c r="T34" i="1"/>
  <c r="U34" i="1"/>
  <c r="V34" i="1"/>
  <c r="W34" i="1"/>
  <c r="X34" i="1"/>
  <c r="Y34" i="1"/>
  <c r="Z34" i="1"/>
  <c r="AA34" i="1"/>
  <c r="AB34" i="1"/>
  <c r="AC34" i="1"/>
  <c r="AD34" i="1"/>
  <c r="T35" i="1"/>
  <c r="U35" i="1"/>
  <c r="V35" i="1"/>
  <c r="W35" i="1"/>
  <c r="X35" i="1"/>
  <c r="Y35" i="1"/>
  <c r="Z35" i="1"/>
  <c r="AA35" i="1"/>
  <c r="AB35" i="1"/>
  <c r="AC35" i="1"/>
  <c r="AD35" i="1"/>
  <c r="T36" i="1"/>
  <c r="U36" i="1"/>
  <c r="V36" i="1"/>
  <c r="W36" i="1"/>
  <c r="X36" i="1"/>
  <c r="Y36" i="1"/>
  <c r="Z36" i="1"/>
  <c r="AA36" i="1"/>
  <c r="AB36" i="1"/>
  <c r="AC36" i="1"/>
  <c r="AD36" i="1"/>
  <c r="T37" i="1"/>
  <c r="U37" i="1"/>
  <c r="V37" i="1"/>
  <c r="W37" i="1"/>
  <c r="X37" i="1"/>
  <c r="Y37" i="1"/>
  <c r="Z37" i="1"/>
  <c r="AA37" i="1"/>
  <c r="AB37" i="1"/>
  <c r="AC37" i="1"/>
  <c r="AD37" i="1"/>
  <c r="T38" i="1"/>
  <c r="U38" i="1"/>
  <c r="V38" i="1"/>
  <c r="W38" i="1"/>
  <c r="X38" i="1"/>
  <c r="Y38" i="1"/>
  <c r="Z38" i="1"/>
  <c r="AA38" i="1"/>
  <c r="AB38" i="1"/>
  <c r="AC38" i="1"/>
  <c r="AD38" i="1"/>
  <c r="T39" i="1"/>
  <c r="U39" i="1"/>
  <c r="V39" i="1"/>
  <c r="W39" i="1"/>
  <c r="X39" i="1"/>
  <c r="Y39" i="1"/>
  <c r="Z39" i="1"/>
  <c r="AA39" i="1"/>
  <c r="AB39" i="1"/>
  <c r="AC39" i="1"/>
  <c r="AD39" i="1"/>
  <c r="T40" i="1"/>
  <c r="U40" i="1"/>
  <c r="V40" i="1"/>
  <c r="W40" i="1"/>
  <c r="X40" i="1"/>
  <c r="Y40" i="1"/>
  <c r="Z40" i="1"/>
  <c r="AA40" i="1"/>
  <c r="AB40" i="1"/>
  <c r="AC40" i="1"/>
  <c r="AD40" i="1"/>
  <c r="Y2" i="1"/>
  <c r="Z2" i="1"/>
  <c r="AA2" i="1"/>
  <c r="AB2" i="1"/>
  <c r="AC2" i="1"/>
  <c r="AD2" i="1"/>
  <c r="U2" i="1"/>
  <c r="V2" i="1"/>
  <c r="W2" i="1"/>
  <c r="X2" i="1"/>
  <c r="T2" i="1"/>
  <c r="CS3" i="3"/>
  <c r="CR3" i="3"/>
  <c r="CQ3" i="3"/>
  <c r="CP3" i="3"/>
  <c r="CO3" i="3"/>
  <c r="CN3" i="3"/>
  <c r="CM3" i="3"/>
  <c r="CL3" i="3"/>
  <c r="CK3" i="3"/>
  <c r="CJ3" i="3"/>
  <c r="CI3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BB41" i="3" s="1"/>
  <c r="BB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V40" i="3" s="1"/>
  <c r="BB39" i="3"/>
  <c r="AX39" i="3"/>
  <c r="AW39" i="3"/>
  <c r="AV39" i="3"/>
  <c r="AP39" i="3"/>
  <c r="AO39" i="3"/>
  <c r="BA39" i="3" s="1"/>
  <c r="AN39" i="3"/>
  <c r="AZ39" i="3" s="1"/>
  <c r="AM39" i="3"/>
  <c r="AL39" i="3"/>
  <c r="AK39" i="3"/>
  <c r="AJ39" i="3"/>
  <c r="AI39" i="3"/>
  <c r="AU39" i="3" s="1"/>
  <c r="AH39" i="3"/>
  <c r="AG39" i="3"/>
  <c r="AF39" i="3"/>
  <c r="AE39" i="3"/>
  <c r="BF39" i="3" s="1"/>
  <c r="BF38" i="3"/>
  <c r="BB38" i="3"/>
  <c r="BA38" i="3"/>
  <c r="AZ38" i="3"/>
  <c r="AW38" i="3"/>
  <c r="AV38" i="3"/>
  <c r="AU38" i="3"/>
  <c r="AT38" i="3"/>
  <c r="AS38" i="3"/>
  <c r="AP38" i="3"/>
  <c r="AO38" i="3"/>
  <c r="AN38" i="3"/>
  <c r="AM38" i="3"/>
  <c r="AY38" i="3" s="1"/>
  <c r="AL38" i="3"/>
  <c r="AK38" i="3"/>
  <c r="AJ38" i="3"/>
  <c r="AI38" i="3"/>
  <c r="AH38" i="3"/>
  <c r="AG38" i="3"/>
  <c r="AF38" i="3"/>
  <c r="AE38" i="3"/>
  <c r="AX38" i="3" s="1"/>
  <c r="BF37" i="3"/>
  <c r="BB37" i="3"/>
  <c r="BA37" i="3"/>
  <c r="AZ37" i="3"/>
  <c r="AY37" i="3"/>
  <c r="AV37" i="3"/>
  <c r="AU37" i="3"/>
  <c r="AT37" i="3"/>
  <c r="AS37" i="3"/>
  <c r="AP37" i="3"/>
  <c r="AO37" i="3"/>
  <c r="AN37" i="3"/>
  <c r="AM37" i="3"/>
  <c r="AL37" i="3"/>
  <c r="AX37" i="3" s="1"/>
  <c r="AK37" i="3"/>
  <c r="AJ37" i="3"/>
  <c r="AI37" i="3"/>
  <c r="AH37" i="3"/>
  <c r="AG37" i="3"/>
  <c r="AF37" i="3"/>
  <c r="AE37" i="3"/>
  <c r="AR37" i="3" s="1"/>
  <c r="AZ36" i="3"/>
  <c r="AX36" i="3"/>
  <c r="AS36" i="3"/>
  <c r="AP36" i="3"/>
  <c r="AO36" i="3"/>
  <c r="AN36" i="3"/>
  <c r="AM36" i="3"/>
  <c r="AY36" i="3" s="1"/>
  <c r="AL36" i="3"/>
  <c r="AK36" i="3"/>
  <c r="AJ36" i="3"/>
  <c r="AI36" i="3"/>
  <c r="AH36" i="3"/>
  <c r="AG36" i="3"/>
  <c r="AF36" i="3"/>
  <c r="AE36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BB34" i="3"/>
  <c r="BA34" i="3"/>
  <c r="AX34" i="3"/>
  <c r="AV34" i="3"/>
  <c r="AP34" i="3"/>
  <c r="AO34" i="3"/>
  <c r="AN34" i="3"/>
  <c r="AM34" i="3"/>
  <c r="AL34" i="3"/>
  <c r="AK34" i="3"/>
  <c r="AW34" i="3" s="1"/>
  <c r="AJ34" i="3"/>
  <c r="AI34" i="3"/>
  <c r="AH34" i="3"/>
  <c r="AG34" i="3"/>
  <c r="AF34" i="3"/>
  <c r="AE34" i="3"/>
  <c r="AU34" i="3" s="1"/>
  <c r="BF33" i="3"/>
  <c r="AW33" i="3"/>
  <c r="AV33" i="3"/>
  <c r="AP33" i="3"/>
  <c r="BB33" i="3" s="1"/>
  <c r="AO33" i="3"/>
  <c r="BA33" i="3" s="1"/>
  <c r="AN33" i="3"/>
  <c r="AM33" i="3"/>
  <c r="AL33" i="3"/>
  <c r="AK33" i="3"/>
  <c r="AJ33" i="3"/>
  <c r="AI33" i="3"/>
  <c r="AU33" i="3" s="1"/>
  <c r="AH33" i="3"/>
  <c r="AT33" i="3" s="1"/>
  <c r="AG33" i="3"/>
  <c r="AF33" i="3"/>
  <c r="AE33" i="3"/>
  <c r="AZ33" i="3" s="1"/>
  <c r="BF32" i="3"/>
  <c r="BB32" i="3"/>
  <c r="BA32" i="3"/>
  <c r="AY32" i="3"/>
  <c r="AW32" i="3"/>
  <c r="AV32" i="3"/>
  <c r="AP32" i="3"/>
  <c r="AO32" i="3"/>
  <c r="AN32" i="3"/>
  <c r="AZ32" i="3" s="1"/>
  <c r="AM32" i="3"/>
  <c r="AL32" i="3"/>
  <c r="AK32" i="3"/>
  <c r="AJ32" i="3"/>
  <c r="AI32" i="3"/>
  <c r="AU32" i="3" s="1"/>
  <c r="AH32" i="3"/>
  <c r="AT32" i="3" s="1"/>
  <c r="AG32" i="3"/>
  <c r="AS32" i="3" s="1"/>
  <c r="AF32" i="3"/>
  <c r="AE32" i="3"/>
  <c r="AR32" i="3" s="1"/>
  <c r="AP31" i="3"/>
  <c r="AO31" i="3"/>
  <c r="AN31" i="3"/>
  <c r="AM31" i="3"/>
  <c r="AL31" i="3"/>
  <c r="AK31" i="3"/>
  <c r="AJ31" i="3"/>
  <c r="AI31" i="3"/>
  <c r="AH31" i="3"/>
  <c r="AG31" i="3"/>
  <c r="AF31" i="3"/>
  <c r="AE31" i="3"/>
  <c r="BF31" i="3" s="1"/>
  <c r="BF30" i="3"/>
  <c r="AY30" i="3"/>
  <c r="AX30" i="3"/>
  <c r="AW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Y29" i="3"/>
  <c r="AP29" i="3"/>
  <c r="BB29" i="3" s="1"/>
  <c r="AO29" i="3"/>
  <c r="AN29" i="3"/>
  <c r="AM29" i="3"/>
  <c r="AL29" i="3"/>
  <c r="AK29" i="3"/>
  <c r="AJ29" i="3"/>
  <c r="AI29" i="3"/>
  <c r="AH29" i="3"/>
  <c r="AG29" i="3"/>
  <c r="AF29" i="3"/>
  <c r="AE29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BB28" i="3" s="1"/>
  <c r="BB27" i="3"/>
  <c r="AZ27" i="3"/>
  <c r="AX27" i="3"/>
  <c r="AW27" i="3"/>
  <c r="AP27" i="3"/>
  <c r="AO27" i="3"/>
  <c r="BA27" i="3" s="1"/>
  <c r="AN27" i="3"/>
  <c r="AM27" i="3"/>
  <c r="AL27" i="3"/>
  <c r="AK27" i="3"/>
  <c r="AJ27" i="3"/>
  <c r="AV27" i="3" s="1"/>
  <c r="AI27" i="3"/>
  <c r="AU27" i="3" s="1"/>
  <c r="AH27" i="3"/>
  <c r="AG27" i="3"/>
  <c r="AF27" i="3"/>
  <c r="AE27" i="3"/>
  <c r="BF27" i="3" s="1"/>
  <c r="BF26" i="3"/>
  <c r="BB26" i="3"/>
  <c r="AW26" i="3"/>
  <c r="AV26" i="3"/>
  <c r="AU26" i="3"/>
  <c r="AS26" i="3"/>
  <c r="AP26" i="3"/>
  <c r="AO26" i="3"/>
  <c r="BA26" i="3" s="1"/>
  <c r="AN26" i="3"/>
  <c r="AZ26" i="3" s="1"/>
  <c r="AM26" i="3"/>
  <c r="AY26" i="3" s="1"/>
  <c r="AL26" i="3"/>
  <c r="AK26" i="3"/>
  <c r="AJ26" i="3"/>
  <c r="AI26" i="3"/>
  <c r="AH26" i="3"/>
  <c r="AT26" i="3" s="1"/>
  <c r="AG26" i="3"/>
  <c r="AF26" i="3"/>
  <c r="AE26" i="3"/>
  <c r="AX26" i="3" s="1"/>
  <c r="BF25" i="3"/>
  <c r="BB25" i="3"/>
  <c r="BA25" i="3"/>
  <c r="AZ25" i="3"/>
  <c r="AX25" i="3"/>
  <c r="AV25" i="3"/>
  <c r="AU25" i="3"/>
  <c r="AS25" i="3"/>
  <c r="AP25" i="3"/>
  <c r="AO25" i="3"/>
  <c r="AN25" i="3"/>
  <c r="AM25" i="3"/>
  <c r="AY25" i="3" s="1"/>
  <c r="AL25" i="3"/>
  <c r="AK25" i="3"/>
  <c r="AJ25" i="3"/>
  <c r="AI25" i="3"/>
  <c r="AH25" i="3"/>
  <c r="AT25" i="3" s="1"/>
  <c r="AG25" i="3"/>
  <c r="AF25" i="3"/>
  <c r="AE25" i="3"/>
  <c r="AR25" i="3" s="1"/>
  <c r="AZ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X23" i="3"/>
  <c r="AW23" i="3"/>
  <c r="AV23" i="3"/>
  <c r="AS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BB22" i="3"/>
  <c r="BA22" i="3"/>
  <c r="AX22" i="3"/>
  <c r="AP22" i="3"/>
  <c r="AO22" i="3"/>
  <c r="AN22" i="3"/>
  <c r="AM22" i="3"/>
  <c r="AL22" i="3"/>
  <c r="AK22" i="3"/>
  <c r="AW22" i="3" s="1"/>
  <c r="AJ22" i="3"/>
  <c r="AV22" i="3" s="1"/>
  <c r="AI22" i="3"/>
  <c r="AH22" i="3"/>
  <c r="AG22" i="3"/>
  <c r="AF22" i="3"/>
  <c r="AE22" i="3"/>
  <c r="BF21" i="3"/>
  <c r="BA21" i="3"/>
  <c r="AV21" i="3"/>
  <c r="AU21" i="3"/>
  <c r="AT21" i="3"/>
  <c r="AP21" i="3"/>
  <c r="BB21" i="3" s="1"/>
  <c r="AO21" i="3"/>
  <c r="AN21" i="3"/>
  <c r="AM21" i="3"/>
  <c r="AL21" i="3"/>
  <c r="AK21" i="3"/>
  <c r="AJ21" i="3"/>
  <c r="AI21" i="3"/>
  <c r="AH21" i="3"/>
  <c r="AG21" i="3"/>
  <c r="AF21" i="3"/>
  <c r="AE21" i="3"/>
  <c r="AZ21" i="3" s="1"/>
  <c r="BF20" i="3"/>
  <c r="BB20" i="3"/>
  <c r="BA20" i="3"/>
  <c r="AZ20" i="3"/>
  <c r="AY20" i="3"/>
  <c r="AW20" i="3"/>
  <c r="AV20" i="3"/>
  <c r="AT20" i="3"/>
  <c r="AP20" i="3"/>
  <c r="AO20" i="3"/>
  <c r="AN20" i="3"/>
  <c r="AM20" i="3"/>
  <c r="AL20" i="3"/>
  <c r="AK20" i="3"/>
  <c r="AJ20" i="3"/>
  <c r="AI20" i="3"/>
  <c r="AU20" i="3" s="1"/>
  <c r="AH20" i="3"/>
  <c r="AG20" i="3"/>
  <c r="AS20" i="3" s="1"/>
  <c r="AF20" i="3"/>
  <c r="AE20" i="3"/>
  <c r="AR20" i="3" s="1"/>
  <c r="BF19" i="3"/>
  <c r="BA19" i="3"/>
  <c r="AT19" i="3"/>
  <c r="AS19" i="3"/>
  <c r="AP19" i="3"/>
  <c r="AO19" i="3"/>
  <c r="AN19" i="3"/>
  <c r="AZ19" i="3" s="1"/>
  <c r="AM19" i="3"/>
  <c r="AY19" i="3" s="1"/>
  <c r="AL19" i="3"/>
  <c r="AK19" i="3"/>
  <c r="AJ19" i="3"/>
  <c r="AI19" i="3"/>
  <c r="AH19" i="3"/>
  <c r="AG19" i="3"/>
  <c r="AF19" i="3"/>
  <c r="AE19" i="3"/>
  <c r="AY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W18" i="3" s="1"/>
  <c r="AP17" i="3"/>
  <c r="AO17" i="3"/>
  <c r="AN17" i="3"/>
  <c r="AM17" i="3"/>
  <c r="AL17" i="3"/>
  <c r="AK17" i="3"/>
  <c r="AJ17" i="3"/>
  <c r="AI17" i="3"/>
  <c r="AH17" i="3"/>
  <c r="AG17" i="3"/>
  <c r="AF17" i="3"/>
  <c r="AE17" i="3"/>
  <c r="BB17" i="3" s="1"/>
  <c r="BB16" i="3"/>
  <c r="AW16" i="3"/>
  <c r="AV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BB15" i="3"/>
  <c r="AX15" i="3"/>
  <c r="AV15" i="3"/>
  <c r="AU15" i="3"/>
  <c r="AP15" i="3"/>
  <c r="AO15" i="3"/>
  <c r="BA15" i="3" s="1"/>
  <c r="AN15" i="3"/>
  <c r="AZ15" i="3" s="1"/>
  <c r="AM15" i="3"/>
  <c r="AL15" i="3"/>
  <c r="AK15" i="3"/>
  <c r="AW15" i="3" s="1"/>
  <c r="AJ15" i="3"/>
  <c r="AI15" i="3"/>
  <c r="AH15" i="3"/>
  <c r="AG15" i="3"/>
  <c r="AF15" i="3"/>
  <c r="AE15" i="3"/>
  <c r="BF15" i="3" s="1"/>
  <c r="BF14" i="3"/>
  <c r="BA14" i="3"/>
  <c r="AW14" i="3"/>
  <c r="AV14" i="3"/>
  <c r="AU14" i="3"/>
  <c r="AT14" i="3"/>
  <c r="AS14" i="3"/>
  <c r="AP14" i="3"/>
  <c r="BB14" i="3" s="1"/>
  <c r="AO14" i="3"/>
  <c r="AN14" i="3"/>
  <c r="AZ14" i="3" s="1"/>
  <c r="AM14" i="3"/>
  <c r="AY14" i="3" s="1"/>
  <c r="AL14" i="3"/>
  <c r="AK14" i="3"/>
  <c r="AJ14" i="3"/>
  <c r="AI14" i="3"/>
  <c r="AH14" i="3"/>
  <c r="AG14" i="3"/>
  <c r="AF14" i="3"/>
  <c r="AE14" i="3"/>
  <c r="AX14" i="3" s="1"/>
  <c r="BF13" i="3"/>
  <c r="BA13" i="3"/>
  <c r="AZ13" i="3"/>
  <c r="AV13" i="3"/>
  <c r="AU13" i="3"/>
  <c r="AT13" i="3"/>
  <c r="AS13" i="3"/>
  <c r="AP13" i="3"/>
  <c r="AO13" i="3"/>
  <c r="AN13" i="3"/>
  <c r="AM13" i="3"/>
  <c r="AY13" i="3" s="1"/>
  <c r="AL13" i="3"/>
  <c r="AX13" i="3" s="1"/>
  <c r="AK13" i="3"/>
  <c r="AJ13" i="3"/>
  <c r="AI13" i="3"/>
  <c r="AH13" i="3"/>
  <c r="AG13" i="3"/>
  <c r="AF13" i="3"/>
  <c r="AE13" i="3"/>
  <c r="AR13" i="3" s="1"/>
  <c r="BA12" i="3"/>
  <c r="AZ12" i="3"/>
  <c r="AY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BF11" i="3"/>
  <c r="AW11" i="3"/>
  <c r="AV11" i="3"/>
  <c r="AT11" i="3"/>
  <c r="AP11" i="3"/>
  <c r="AO11" i="3"/>
  <c r="AN11" i="3"/>
  <c r="AM11" i="3"/>
  <c r="AL11" i="3"/>
  <c r="AX11" i="3" s="1"/>
  <c r="AK11" i="3"/>
  <c r="AJ11" i="3"/>
  <c r="AI11" i="3"/>
  <c r="AH11" i="3"/>
  <c r="AG11" i="3"/>
  <c r="AF11" i="3"/>
  <c r="AE11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BA10" i="3" s="1"/>
  <c r="AP9" i="3"/>
  <c r="AO9" i="3"/>
  <c r="AN9" i="3"/>
  <c r="AM9" i="3"/>
  <c r="AL9" i="3"/>
  <c r="AK9" i="3"/>
  <c r="AJ9" i="3"/>
  <c r="AI9" i="3"/>
  <c r="AH9" i="3"/>
  <c r="AG9" i="3"/>
  <c r="AF9" i="3"/>
  <c r="AE9" i="3"/>
  <c r="AR9" i="3" s="1"/>
  <c r="BF8" i="3"/>
  <c r="BB8" i="3"/>
  <c r="BA8" i="3"/>
  <c r="AZ8" i="3"/>
  <c r="AY8" i="3"/>
  <c r="AW8" i="3"/>
  <c r="AT8" i="3"/>
  <c r="AP8" i="3"/>
  <c r="AO8" i="3"/>
  <c r="AN8" i="3"/>
  <c r="AM8" i="3"/>
  <c r="AL8" i="3"/>
  <c r="AK8" i="3"/>
  <c r="AJ8" i="3"/>
  <c r="AV8" i="3" s="1"/>
  <c r="AI8" i="3"/>
  <c r="AU8" i="3" s="1"/>
  <c r="AH8" i="3"/>
  <c r="AG8" i="3"/>
  <c r="AS8" i="3" s="1"/>
  <c r="AF8" i="3"/>
  <c r="AE8" i="3"/>
  <c r="AR8" i="3" s="1"/>
  <c r="AP7" i="3"/>
  <c r="AO7" i="3"/>
  <c r="AN7" i="3"/>
  <c r="AM7" i="3"/>
  <c r="AL7" i="3"/>
  <c r="AK7" i="3"/>
  <c r="AJ7" i="3"/>
  <c r="AI7" i="3"/>
  <c r="AH7" i="3"/>
  <c r="AG7" i="3"/>
  <c r="AF7" i="3"/>
  <c r="AE7" i="3"/>
  <c r="AP6" i="3"/>
  <c r="AO6" i="3"/>
  <c r="AN6" i="3"/>
  <c r="AM6" i="3"/>
  <c r="AL6" i="3"/>
  <c r="AK6" i="3"/>
  <c r="AJ6" i="3"/>
  <c r="AI6" i="3"/>
  <c r="AH6" i="3"/>
  <c r="AG6" i="3"/>
  <c r="AF6" i="3"/>
  <c r="AE6" i="3"/>
  <c r="AY6" i="3" s="1"/>
  <c r="AZ5" i="3"/>
  <c r="AY5" i="3"/>
  <c r="AX5" i="3"/>
  <c r="AW5" i="3"/>
  <c r="AP5" i="3"/>
  <c r="AO5" i="3"/>
  <c r="AN5" i="3"/>
  <c r="AM5" i="3"/>
  <c r="AL5" i="3"/>
  <c r="AK5" i="3"/>
  <c r="AJ5" i="3"/>
  <c r="AI5" i="3"/>
  <c r="AH5" i="3"/>
  <c r="AG5" i="3"/>
  <c r="AF5" i="3"/>
  <c r="AE5" i="3"/>
  <c r="BF4" i="3"/>
  <c r="AY4" i="3"/>
  <c r="AX4" i="3"/>
  <c r="AW4" i="3"/>
  <c r="AS4" i="3"/>
  <c r="AR4" i="3"/>
  <c r="AP4" i="3"/>
  <c r="BB4" i="3" s="1"/>
  <c r="AO4" i="3"/>
  <c r="BA4" i="3" s="1"/>
  <c r="AN4" i="3"/>
  <c r="AZ4" i="3" s="1"/>
  <c r="AM4" i="3"/>
  <c r="AL4" i="3"/>
  <c r="AK4" i="3"/>
  <c r="AJ4" i="3"/>
  <c r="AV4" i="3" s="1"/>
  <c r="AI4" i="3"/>
  <c r="AU4" i="3" s="1"/>
  <c r="AH4" i="3"/>
  <c r="AT4" i="3" s="1"/>
  <c r="AG4" i="3"/>
  <c r="AF4" i="3"/>
  <c r="BF3" i="3"/>
  <c r="BB3" i="3"/>
  <c r="AY3" i="3"/>
  <c r="AW3" i="3"/>
  <c r="AV3" i="3"/>
  <c r="AP3" i="3"/>
  <c r="AO3" i="3"/>
  <c r="BA3" i="3" s="1"/>
  <c r="AN3" i="3"/>
  <c r="AZ3" i="3" s="1"/>
  <c r="AM3" i="3"/>
  <c r="AL3" i="3"/>
  <c r="AK3" i="3"/>
  <c r="AJ3" i="3"/>
  <c r="AI3" i="3"/>
  <c r="AU3" i="3" s="1"/>
  <c r="AH3" i="3"/>
  <c r="AT3" i="3" s="1"/>
  <c r="AG3" i="3"/>
  <c r="AS3" i="3" s="1"/>
  <c r="AF3" i="3"/>
  <c r="AE3" i="3"/>
  <c r="AR3" i="3" s="1"/>
  <c r="BC4" i="3" l="1"/>
  <c r="AX7" i="3"/>
  <c r="AW7" i="3"/>
  <c r="AV7" i="3"/>
  <c r="AR7" i="3"/>
  <c r="AT9" i="3"/>
  <c r="AV10" i="3"/>
  <c r="AW17" i="3"/>
  <c r="AW24" i="3"/>
  <c r="AV24" i="3"/>
  <c r="BF24" i="3"/>
  <c r="AU24" i="3"/>
  <c r="AT24" i="3"/>
  <c r="BB24" i="3"/>
  <c r="BA24" i="3"/>
  <c r="AR24" i="3"/>
  <c r="AS6" i="3"/>
  <c r="AS7" i="3"/>
  <c r="AU9" i="3"/>
  <c r="AW10" i="3"/>
  <c r="AX17" i="3"/>
  <c r="AS24" i="3"/>
  <c r="AV29" i="3"/>
  <c r="AS29" i="3"/>
  <c r="AU29" i="3"/>
  <c r="BF29" i="3"/>
  <c r="AT29" i="3"/>
  <c r="BA29" i="3"/>
  <c r="AZ29" i="3"/>
  <c r="AR29" i="3"/>
  <c r="BC29" i="3" s="1"/>
  <c r="BC3" i="3"/>
  <c r="AV5" i="3"/>
  <c r="AU5" i="3"/>
  <c r="AT5" i="3"/>
  <c r="BF5" i="3"/>
  <c r="BA5" i="3"/>
  <c r="AR5" i="3"/>
  <c r="AT6" i="3"/>
  <c r="AT7" i="3"/>
  <c r="AV9" i="3"/>
  <c r="AX10" i="3"/>
  <c r="BA16" i="3"/>
  <c r="AZ16" i="3"/>
  <c r="AX16" i="3"/>
  <c r="AY16" i="3"/>
  <c r="BF16" i="3"/>
  <c r="AT16" i="3"/>
  <c r="AS16" i="3"/>
  <c r="AR16" i="3"/>
  <c r="AY17" i="3"/>
  <c r="BF18" i="3"/>
  <c r="AX24" i="3"/>
  <c r="AW29" i="3"/>
  <c r="BC32" i="3"/>
  <c r="AS5" i="3"/>
  <c r="AU6" i="3"/>
  <c r="AU7" i="3"/>
  <c r="AW9" i="3"/>
  <c r="AY10" i="3"/>
  <c r="AU16" i="3"/>
  <c r="AX19" i="3"/>
  <c r="AW19" i="3"/>
  <c r="AV19" i="3"/>
  <c r="AU19" i="3"/>
  <c r="BB19" i="3"/>
  <c r="AR19" i="3"/>
  <c r="BC19" i="3" s="1"/>
  <c r="BB23" i="3"/>
  <c r="BA23" i="3"/>
  <c r="AZ23" i="3"/>
  <c r="AY23" i="3"/>
  <c r="AU23" i="3"/>
  <c r="BF23" i="3"/>
  <c r="AT23" i="3"/>
  <c r="AR23" i="3"/>
  <c r="AY24" i="3"/>
  <c r="AX29" i="3"/>
  <c r="AW36" i="3"/>
  <c r="AV36" i="3"/>
  <c r="BF36" i="3"/>
  <c r="AT36" i="3"/>
  <c r="AU36" i="3"/>
  <c r="BB36" i="3"/>
  <c r="BA36" i="3"/>
  <c r="AR36" i="3"/>
  <c r="AR10" i="3"/>
  <c r="AV17" i="3"/>
  <c r="AU17" i="3"/>
  <c r="AS17" i="3"/>
  <c r="BF17" i="3"/>
  <c r="AT17" i="3"/>
  <c r="BA17" i="3"/>
  <c r="AZ17" i="3"/>
  <c r="AW6" i="3"/>
  <c r="AX6" i="3"/>
  <c r="AX31" i="3"/>
  <c r="AW31" i="3"/>
  <c r="AV31" i="3"/>
  <c r="AU31" i="3"/>
  <c r="BB31" i="3"/>
  <c r="AZ9" i="3"/>
  <c r="AY9" i="3"/>
  <c r="AX9" i="3"/>
  <c r="AS9" i="3"/>
  <c r="BC9" i="3" s="1"/>
  <c r="AR6" i="3"/>
  <c r="AY7" i="3"/>
  <c r="AR28" i="3"/>
  <c r="AR41" i="3"/>
  <c r="BB9" i="3"/>
  <c r="AW41" i="3"/>
  <c r="BA7" i="3"/>
  <c r="AR18" i="3"/>
  <c r="AS31" i="3"/>
  <c r="BB35" i="3"/>
  <c r="BA35" i="3"/>
  <c r="AZ35" i="3"/>
  <c r="AY35" i="3"/>
  <c r="AU35" i="3"/>
  <c r="BF35" i="3"/>
  <c r="AT35" i="3"/>
  <c r="AR35" i="3"/>
  <c r="AX41" i="3"/>
  <c r="BB7" i="3"/>
  <c r="AS18" i="3"/>
  <c r="AW28" i="3"/>
  <c r="AR40" i="3"/>
  <c r="AW12" i="3"/>
  <c r="AT12" i="3"/>
  <c r="AV12" i="3"/>
  <c r="AU12" i="3"/>
  <c r="BF12" i="3"/>
  <c r="BB12" i="3"/>
  <c r="AT18" i="3"/>
  <c r="AU22" i="3"/>
  <c r="BC25" i="3"/>
  <c r="BB30" i="3"/>
  <c r="AZ30" i="3"/>
  <c r="BA30" i="3"/>
  <c r="AV30" i="3"/>
  <c r="AU30" i="3"/>
  <c r="AR30" i="3"/>
  <c r="AY31" i="3"/>
  <c r="AV35" i="3"/>
  <c r="AU40" i="3"/>
  <c r="AS30" i="3"/>
  <c r="AZ31" i="3"/>
  <c r="AW35" i="3"/>
  <c r="AU10" i="3"/>
  <c r="BF10" i="3"/>
  <c r="AT10" i="3"/>
  <c r="AS10" i="3"/>
  <c r="AZ10" i="3"/>
  <c r="AR17" i="3"/>
  <c r="BB6" i="3"/>
  <c r="BA6" i="3"/>
  <c r="AV6" i="3"/>
  <c r="BA9" i="3"/>
  <c r="BA28" i="3"/>
  <c r="AZ28" i="3"/>
  <c r="AX28" i="3"/>
  <c r="AY28" i="3"/>
  <c r="BF28" i="3"/>
  <c r="AT28" i="3"/>
  <c r="AS28" i="3"/>
  <c r="AV41" i="3"/>
  <c r="AU41" i="3"/>
  <c r="BF41" i="3"/>
  <c r="AT41" i="3"/>
  <c r="AS41" i="3"/>
  <c r="BA41" i="3"/>
  <c r="AZ41" i="3"/>
  <c r="AZ7" i="3"/>
  <c r="BB10" i="3"/>
  <c r="AU28" i="3"/>
  <c r="AR31" i="3"/>
  <c r="BB18" i="3"/>
  <c r="BA18" i="3"/>
  <c r="AZ18" i="3"/>
  <c r="AV18" i="3"/>
  <c r="AU18" i="3"/>
  <c r="AV28" i="3"/>
  <c r="AZ6" i="3"/>
  <c r="AT31" i="3"/>
  <c r="AS35" i="3"/>
  <c r="BA40" i="3"/>
  <c r="AZ40" i="3"/>
  <c r="AX40" i="3"/>
  <c r="AY40" i="3"/>
  <c r="BF40" i="3"/>
  <c r="AT40" i="3"/>
  <c r="AS40" i="3"/>
  <c r="AY41" i="3"/>
  <c r="BB5" i="3"/>
  <c r="BF9" i="3"/>
  <c r="AR12" i="3"/>
  <c r="BB11" i="3"/>
  <c r="BA11" i="3"/>
  <c r="AZ11" i="3"/>
  <c r="AY11" i="3"/>
  <c r="AU11" i="3"/>
  <c r="AR11" i="3"/>
  <c r="AS12" i="3"/>
  <c r="BF6" i="3"/>
  <c r="BF7" i="3"/>
  <c r="AS11" i="3"/>
  <c r="AX12" i="3"/>
  <c r="AX18" i="3"/>
  <c r="AT30" i="3"/>
  <c r="BA31" i="3"/>
  <c r="AX35" i="3"/>
  <c r="AW40" i="3"/>
  <c r="AR21" i="3"/>
  <c r="AY22" i="3"/>
  <c r="AR33" i="3"/>
  <c r="AY34" i="3"/>
  <c r="AX3" i="3"/>
  <c r="AX8" i="3"/>
  <c r="BC8" i="3" s="1"/>
  <c r="AW13" i="3"/>
  <c r="BC13" i="3" s="1"/>
  <c r="AR14" i="3"/>
  <c r="BC14" i="3" s="1"/>
  <c r="AY15" i="3"/>
  <c r="AX20" i="3"/>
  <c r="BC20" i="3" s="1"/>
  <c r="AS21" i="3"/>
  <c r="AZ22" i="3"/>
  <c r="AW25" i="3"/>
  <c r="AR26" i="3"/>
  <c r="BC26" i="3" s="1"/>
  <c r="AY27" i="3"/>
  <c r="AX32" i="3"/>
  <c r="AS33" i="3"/>
  <c r="AZ34" i="3"/>
  <c r="AW37" i="3"/>
  <c r="BC37" i="3" s="1"/>
  <c r="AR38" i="3"/>
  <c r="BC38" i="3" s="1"/>
  <c r="AY39" i="3"/>
  <c r="BB13" i="3"/>
  <c r="AR15" i="3"/>
  <c r="BC15" i="3" s="1"/>
  <c r="AX21" i="3"/>
  <c r="AS22" i="3"/>
  <c r="AR27" i="3"/>
  <c r="AX33" i="3"/>
  <c r="AS34" i="3"/>
  <c r="AR39" i="3"/>
  <c r="AW21" i="3"/>
  <c r="AR22" i="3"/>
  <c r="AR34" i="3"/>
  <c r="BC34" i="3" s="1"/>
  <c r="AS15" i="3"/>
  <c r="AY21" i="3"/>
  <c r="AT22" i="3"/>
  <c r="BF22" i="3"/>
  <c r="AS27" i="3"/>
  <c r="AY33" i="3"/>
  <c r="AT34" i="3"/>
  <c r="BF34" i="3"/>
  <c r="AS39" i="3"/>
  <c r="AT15" i="3"/>
  <c r="AT27" i="3"/>
  <c r="AT39" i="3"/>
  <c r="I3" i="2"/>
  <c r="BH9" i="3" l="1"/>
  <c r="BD9" i="3"/>
  <c r="BE9" i="3" s="1"/>
  <c r="BD8" i="3"/>
  <c r="BH8" i="3"/>
  <c r="BD20" i="3"/>
  <c r="BH20" i="3"/>
  <c r="BD37" i="3"/>
  <c r="BH37" i="3"/>
  <c r="BD13" i="3"/>
  <c r="BH13" i="3"/>
  <c r="BD4" i="3"/>
  <c r="BH4" i="3"/>
  <c r="BC12" i="3"/>
  <c r="BD3" i="3"/>
  <c r="BH3" i="3"/>
  <c r="BC22" i="3"/>
  <c r="BH19" i="3"/>
  <c r="BD19" i="3"/>
  <c r="BG34" i="3"/>
  <c r="BC35" i="3"/>
  <c r="BC33" i="3"/>
  <c r="BC23" i="3"/>
  <c r="BD15" i="3"/>
  <c r="BH15" i="3"/>
  <c r="BC28" i="3"/>
  <c r="BC40" i="3"/>
  <c r="BD34" i="3"/>
  <c r="BE34" i="3" s="1"/>
  <c r="BH34" i="3"/>
  <c r="BC18" i="3"/>
  <c r="BD25" i="3"/>
  <c r="BH25" i="3"/>
  <c r="BC39" i="3"/>
  <c r="BC7" i="3"/>
  <c r="BC27" i="3"/>
  <c r="BH26" i="3"/>
  <c r="BD26" i="3"/>
  <c r="BC11" i="3"/>
  <c r="BC10" i="3"/>
  <c r="BC16" i="3"/>
  <c r="BC5" i="3"/>
  <c r="BC6" i="3"/>
  <c r="BH14" i="3"/>
  <c r="BD14" i="3"/>
  <c r="BH29" i="3"/>
  <c r="BD29" i="3"/>
  <c r="BE29" i="3" s="1"/>
  <c r="BC24" i="3"/>
  <c r="BC21" i="3"/>
  <c r="BC41" i="3"/>
  <c r="BC36" i="3"/>
  <c r="BH38" i="3"/>
  <c r="BD38" i="3"/>
  <c r="BD32" i="3"/>
  <c r="BH32" i="3"/>
  <c r="BC31" i="3"/>
  <c r="BC17" i="3"/>
  <c r="BC30" i="3"/>
  <c r="BE4" i="3" l="1"/>
  <c r="BG4" i="3"/>
  <c r="BH31" i="3"/>
  <c r="BD31" i="3"/>
  <c r="BH11" i="3"/>
  <c r="BD11" i="3"/>
  <c r="BE26" i="3"/>
  <c r="BG26" i="3"/>
  <c r="BH40" i="3"/>
  <c r="BD40" i="3"/>
  <c r="BE37" i="3"/>
  <c r="BG37" i="3"/>
  <c r="BE32" i="3"/>
  <c r="BG32" i="3"/>
  <c r="BG14" i="3"/>
  <c r="BE14" i="3"/>
  <c r="BD27" i="3"/>
  <c r="BH27" i="3"/>
  <c r="BG9" i="3"/>
  <c r="BD21" i="3"/>
  <c r="BH21" i="3"/>
  <c r="BD28" i="3"/>
  <c r="BH28" i="3"/>
  <c r="BE20" i="3"/>
  <c r="BG20" i="3"/>
  <c r="BH30" i="3"/>
  <c r="BD30" i="3"/>
  <c r="BH17" i="3"/>
  <c r="BD17" i="3"/>
  <c r="BD33" i="3"/>
  <c r="BH33" i="3"/>
  <c r="BH24" i="3"/>
  <c r="BD24" i="3"/>
  <c r="BE13" i="3"/>
  <c r="BG13" i="3"/>
  <c r="BE19" i="3"/>
  <c r="BG19" i="3"/>
  <c r="BE38" i="3"/>
  <c r="BG38" i="3"/>
  <c r="BH7" i="3"/>
  <c r="BD7" i="3"/>
  <c r="BD22" i="3"/>
  <c r="BH22" i="3"/>
  <c r="BH6" i="3"/>
  <c r="BD6" i="3"/>
  <c r="BH5" i="3"/>
  <c r="BD5" i="3"/>
  <c r="BE15" i="3"/>
  <c r="BG15" i="3"/>
  <c r="BE3" i="3"/>
  <c r="BG3" i="3"/>
  <c r="BE8" i="3"/>
  <c r="BG8" i="3"/>
  <c r="BE25" i="3"/>
  <c r="BG25" i="3"/>
  <c r="BH35" i="3"/>
  <c r="BD35" i="3"/>
  <c r="BH36" i="3"/>
  <c r="BD36" i="3"/>
  <c r="BH16" i="3"/>
  <c r="BD16" i="3"/>
  <c r="BD39" i="3"/>
  <c r="BH39" i="3"/>
  <c r="BG29" i="3"/>
  <c r="BH12" i="3"/>
  <c r="BD12" i="3"/>
  <c r="BH18" i="3"/>
  <c r="BD18" i="3"/>
  <c r="BH41" i="3"/>
  <c r="BD41" i="3"/>
  <c r="BH10" i="3"/>
  <c r="BD10" i="3"/>
  <c r="BD23" i="3"/>
  <c r="BH23" i="3"/>
  <c r="AE8" i="1"/>
  <c r="AJ8" i="1" s="1"/>
  <c r="AE33" i="1"/>
  <c r="AF33" i="1" s="1"/>
  <c r="AI33" i="1" s="1"/>
  <c r="AE3" i="1"/>
  <c r="AJ3" i="1" s="1"/>
  <c r="AE32" i="1"/>
  <c r="AF32" i="1" s="1"/>
  <c r="AG32" i="1" s="1"/>
  <c r="AE40" i="1"/>
  <c r="AJ40" i="1" s="1"/>
  <c r="AE17" i="1"/>
  <c r="AF17" i="1" s="1"/>
  <c r="AE5" i="1"/>
  <c r="AF5" i="1" s="1"/>
  <c r="AG5" i="1" s="1"/>
  <c r="AE36" i="1"/>
  <c r="AJ36" i="1" s="1"/>
  <c r="AE25" i="1"/>
  <c r="AJ25" i="1" s="1"/>
  <c r="AE23" i="1"/>
  <c r="AJ23" i="1" s="1"/>
  <c r="AE11" i="1"/>
  <c r="AJ11" i="1" s="1"/>
  <c r="AE10" i="1"/>
  <c r="AF10" i="1" s="1"/>
  <c r="AG10" i="1" s="1"/>
  <c r="AE4" i="1"/>
  <c r="AJ4" i="1" s="1"/>
  <c r="AE28" i="1"/>
  <c r="AJ28" i="1" s="1"/>
  <c r="AE34" i="1"/>
  <c r="AF34" i="1" s="1"/>
  <c r="AI34" i="1" s="1"/>
  <c r="AE19" i="1"/>
  <c r="AJ19" i="1" s="1"/>
  <c r="AE20" i="1"/>
  <c r="AJ20" i="1" s="1"/>
  <c r="AE7" i="1"/>
  <c r="AJ7" i="1" s="1"/>
  <c r="AE31" i="1"/>
  <c r="AF31" i="1" s="1"/>
  <c r="AE2" i="1"/>
  <c r="AJ2" i="1" s="1"/>
  <c r="AE22" i="1"/>
  <c r="AJ22" i="1" s="1"/>
  <c r="AE35" i="1"/>
  <c r="AF35" i="1" s="1"/>
  <c r="AG35" i="1" s="1"/>
  <c r="AE6" i="1"/>
  <c r="AJ6" i="1" s="1"/>
  <c r="AE30" i="1"/>
  <c r="AF30" i="1" s="1"/>
  <c r="AE24" i="1"/>
  <c r="AJ24" i="1" s="1"/>
  <c r="AE21" i="1"/>
  <c r="AJ21" i="1" s="1"/>
  <c r="AE26" i="1"/>
  <c r="AF26" i="1" s="1"/>
  <c r="AE27" i="1"/>
  <c r="AF27" i="1" s="1"/>
  <c r="AI27" i="1" s="1"/>
  <c r="AE12" i="1"/>
  <c r="AJ12" i="1" s="1"/>
  <c r="AE15" i="1"/>
  <c r="AJ15" i="1" s="1"/>
  <c r="AE39" i="1"/>
  <c r="AF39" i="1" s="1"/>
  <c r="AE29" i="1"/>
  <c r="AJ29" i="1" s="1"/>
  <c r="AI32" i="1"/>
  <c r="AJ32" i="1"/>
  <c r="AE13" i="1"/>
  <c r="AF13" i="1" s="1"/>
  <c r="AG13" i="1" s="1"/>
  <c r="AE37" i="1"/>
  <c r="AF37" i="1" s="1"/>
  <c r="AE16" i="1"/>
  <c r="AJ16" i="1" s="1"/>
  <c r="AE9" i="1"/>
  <c r="AJ9" i="1" s="1"/>
  <c r="AE14" i="1"/>
  <c r="AJ14" i="1" s="1"/>
  <c r="AE38" i="1"/>
  <c r="AJ38" i="1" s="1"/>
  <c r="AE18" i="1"/>
  <c r="AF18" i="1" s="1"/>
  <c r="BE10" i="3" l="1"/>
  <c r="BG10" i="3"/>
  <c r="BE5" i="3"/>
  <c r="BG5" i="3"/>
  <c r="BE41" i="3"/>
  <c r="BG41" i="3"/>
  <c r="BE28" i="3"/>
  <c r="BG28" i="3"/>
  <c r="BE40" i="3"/>
  <c r="BG40" i="3"/>
  <c r="BE35" i="3"/>
  <c r="BG35" i="3"/>
  <c r="BE6" i="3"/>
  <c r="BG6" i="3"/>
  <c r="BE24" i="3"/>
  <c r="BG24" i="3"/>
  <c r="BE18" i="3"/>
  <c r="BG18" i="3"/>
  <c r="BE21" i="3"/>
  <c r="BG21" i="3"/>
  <c r="BE36" i="3"/>
  <c r="BG36" i="3"/>
  <c r="BE22" i="3"/>
  <c r="BG22" i="3"/>
  <c r="BE31" i="3"/>
  <c r="BG31" i="3"/>
  <c r="BE12" i="3"/>
  <c r="BG12" i="3"/>
  <c r="BE33" i="3"/>
  <c r="BG33" i="3"/>
  <c r="BE30" i="3"/>
  <c r="BG30" i="3"/>
  <c r="BE7" i="3"/>
  <c r="BG7" i="3"/>
  <c r="BE17" i="3"/>
  <c r="BG17" i="3"/>
  <c r="BE27" i="3"/>
  <c r="BG27" i="3"/>
  <c r="BE39" i="3"/>
  <c r="BG39" i="3"/>
  <c r="BE11" i="3"/>
  <c r="BG11" i="3"/>
  <c r="BE23" i="3"/>
  <c r="BG23" i="3"/>
  <c r="BE16" i="3"/>
  <c r="BG16" i="3"/>
  <c r="AJ26" i="1"/>
  <c r="AF36" i="1"/>
  <c r="AI36" i="1" s="1"/>
  <c r="AF3" i="1"/>
  <c r="AG3" i="1" s="1"/>
  <c r="AF25" i="1"/>
  <c r="AG25" i="1" s="1"/>
  <c r="AF22" i="1"/>
  <c r="AG22" i="1" s="1"/>
  <c r="AJ31" i="1"/>
  <c r="AF8" i="1"/>
  <c r="AG8" i="1" s="1"/>
  <c r="AJ5" i="1"/>
  <c r="AF40" i="1"/>
  <c r="AG40" i="1" s="1"/>
  <c r="AI5" i="1"/>
  <c r="AJ34" i="1"/>
  <c r="AJ33" i="1"/>
  <c r="AJ10" i="1"/>
  <c r="AF7" i="1"/>
  <c r="AI7" i="1" s="1"/>
  <c r="AJ17" i="1"/>
  <c r="AF6" i="1"/>
  <c r="AI6" i="1" s="1"/>
  <c r="AJ30" i="1"/>
  <c r="AF19" i="1"/>
  <c r="AI19" i="1" s="1"/>
  <c r="AF4" i="1"/>
  <c r="AJ35" i="1"/>
  <c r="AF28" i="1"/>
  <c r="AG28" i="1" s="1"/>
  <c r="AF20" i="1"/>
  <c r="AI20" i="1" s="1"/>
  <c r="AF11" i="1"/>
  <c r="AI11" i="1" s="1"/>
  <c r="AF23" i="1"/>
  <c r="AG23" i="1" s="1"/>
  <c r="AF2" i="1"/>
  <c r="AG2" i="1" s="1"/>
  <c r="AF29" i="1"/>
  <c r="AG29" i="1" s="1"/>
  <c r="AF24" i="1"/>
  <c r="AI39" i="1"/>
  <c r="AG39" i="1"/>
  <c r="AJ27" i="1"/>
  <c r="AF15" i="1"/>
  <c r="AI15" i="1" s="1"/>
  <c r="AF16" i="1"/>
  <c r="AI16" i="1" s="1"/>
  <c r="AJ39" i="1"/>
  <c r="AF12" i="1"/>
  <c r="AI12" i="1" s="1"/>
  <c r="AF21" i="1"/>
  <c r="AG21" i="1" s="1"/>
  <c r="AG26" i="1"/>
  <c r="AI26" i="1"/>
  <c r="AI37" i="1"/>
  <c r="AG37" i="1"/>
  <c r="AG33" i="1"/>
  <c r="AG34" i="1"/>
  <c r="AF14" i="1"/>
  <c r="AI14" i="1" s="1"/>
  <c r="AJ37" i="1"/>
  <c r="AF38" i="1"/>
  <c r="AI22" i="1"/>
  <c r="AF9" i="1"/>
  <c r="AG9" i="1" s="1"/>
  <c r="AJ13" i="1"/>
  <c r="AI10" i="1"/>
  <c r="AJ18" i="1"/>
  <c r="AI35" i="1"/>
  <c r="AG30" i="1"/>
  <c r="AI30" i="1"/>
  <c r="AG27" i="1"/>
  <c r="AI13" i="1"/>
  <c r="AI17" i="1"/>
  <c r="AG17" i="1"/>
  <c r="AI31" i="1"/>
  <c r="AG31" i="1"/>
  <c r="AI18" i="1"/>
  <c r="AG18" i="1"/>
  <c r="AG36" i="1" l="1"/>
  <c r="AI3" i="1"/>
  <c r="AI40" i="1"/>
  <c r="AI8" i="1"/>
  <c r="AG6" i="1"/>
  <c r="AI25" i="1"/>
  <c r="AG20" i="1"/>
  <c r="AG7" i="1"/>
  <c r="AI28" i="1"/>
  <c r="AG19" i="1"/>
  <c r="AI29" i="1"/>
  <c r="AI2" i="1"/>
  <c r="AG11" i="1"/>
  <c r="AI23" i="1"/>
  <c r="AI4" i="1"/>
  <c r="AG4" i="1"/>
  <c r="AG14" i="1"/>
  <c r="AI21" i="1"/>
  <c r="AG15" i="1"/>
  <c r="AG24" i="1"/>
  <c r="AI24" i="1"/>
  <c r="AG12" i="1"/>
  <c r="AG16" i="1"/>
  <c r="AI9" i="1"/>
  <c r="AI38" i="1"/>
  <c r="AG38" i="1"/>
</calcChain>
</file>

<file path=xl/sharedStrings.xml><?xml version="1.0" encoding="utf-8"?>
<sst xmlns="http://schemas.openxmlformats.org/spreadsheetml/2006/main" count="2077" uniqueCount="378">
  <si>
    <t>ID</t>
  </si>
  <si>
    <t>Ваш пол</t>
  </si>
  <si>
    <t>Ваш возраст</t>
  </si>
  <si>
    <t>Я веду образ жизни</t>
  </si>
  <si>
    <t>Вы трудоустроены?</t>
  </si>
  <si>
    <t>Ваш доход в месяц в рублях?</t>
  </si>
  <si>
    <t>В каком городе Вы проживаете?</t>
  </si>
  <si>
    <t>Как Вы считаете, сколько денег Вам нужно в неделю на продукты?</t>
  </si>
  <si>
    <t>Оцените по шкале необходимость продуктов в Вашем рационе на неделю / Хлебобулочные изделия и крупы</t>
  </si>
  <si>
    <t>Оцените по шкале необходимость продуктов в Вашем рационе на неделю / Картофель</t>
  </si>
  <si>
    <t>Оцените по шкале необходимость продуктов в Вашем рационе на неделю / Овощи</t>
  </si>
  <si>
    <t>Оцените по шкале необходимость продуктов в Вашем рационе на неделю / Фрукты</t>
  </si>
  <si>
    <t>Оцените по шкале необходимость продуктов в Вашем рационе на неделю / Сахар</t>
  </si>
  <si>
    <t>Оцените по шкале необходимость продуктов в Вашем рационе на неделю / Мясо</t>
  </si>
  <si>
    <t>Оцените по шкале необходимость продуктов в Вашем рационе на неделю / Рыба</t>
  </si>
  <si>
    <t>Оцените по шкале необходимость продуктов в Вашем рационе на неделю / Молочные продукты</t>
  </si>
  <si>
    <t>Оцените по шкале необходимость продуктов в Вашем рационе на неделю / Яйца</t>
  </si>
  <si>
    <t>Оцените по шкале необходимость продуктов в Вашем рационе на неделю / Масло и жиры</t>
  </si>
  <si>
    <t>Оцените по шкале необходимость продуктов в Вашем рационе на неделю / Чай и специи</t>
  </si>
  <si>
    <t>Я потребляю в НЕДЕЛЮ больше 1.5 кг хлебобулочных изделий и круп</t>
  </si>
  <si>
    <t>Я потребляю в НЕДЕЛЮ больше 1.2 кг картофеля</t>
  </si>
  <si>
    <t>Я потребляю в НЕДЕЛЮ больше 1.3 кг овощей</t>
  </si>
  <si>
    <t>Я потребляю в НЕДЕЛЮ больше 700 г фруктов</t>
  </si>
  <si>
    <t>Я потребляю в НЕДЕЛЮ больше 300 г сахара</t>
  </si>
  <si>
    <t>Я потребляю в НЕДЕЛЮ больше 700 г мяса (птица тоже считается)</t>
  </si>
  <si>
    <t>Я потребляю в НЕДЕЛЮ больше 200 г рыбы</t>
  </si>
  <si>
    <t>Я потребляю в НЕДЕЛЮ больше 3.5 кг молочных продуктов (кисломолочка тоже считается)</t>
  </si>
  <si>
    <t>Я потребляю в НЕДЕЛЮ больше 3 яиц</t>
  </si>
  <si>
    <t>Я потребляю в НЕДЕЛЮ больше 150 г масла и жиров (если потребляете продукты во фритюре, то примерно 20% веса в них - жиры)</t>
  </si>
  <si>
    <t>Я потребляю в НЕДЕЛЮ больше 60 г чая и специй</t>
  </si>
  <si>
    <t>1995902821</t>
  </si>
  <si>
    <t>Жен</t>
  </si>
  <si>
    <t>Активный (выхожу из дома не менее 6 дней в неделю)</t>
  </si>
  <si>
    <t>Да, официально</t>
  </si>
  <si>
    <t>7500</t>
  </si>
  <si>
    <t>4</t>
  </si>
  <si>
    <t>6</t>
  </si>
  <si>
    <t>8</t>
  </si>
  <si>
    <t>10</t>
  </si>
  <si>
    <t>5</t>
  </si>
  <si>
    <t>7</t>
  </si>
  <si>
    <t>1</t>
  </si>
  <si>
    <t>Да</t>
  </si>
  <si>
    <t>Нет</t>
  </si>
  <si>
    <t>1996067555</t>
  </si>
  <si>
    <t>Муж</t>
  </si>
  <si>
    <t>Довольно активный (выхожу из дома не менее 4 дней в неделю)</t>
  </si>
  <si>
    <t>8000</t>
  </si>
  <si>
    <t>2</t>
  </si>
  <si>
    <t>3</t>
  </si>
  <si>
    <t>1996071674</t>
  </si>
  <si>
    <t>1996073501</t>
  </si>
  <si>
    <t>Саратов, Саратовская область</t>
  </si>
  <si>
    <t>4000</t>
  </si>
  <si>
    <t>1996076712</t>
  </si>
  <si>
    <t>5000</t>
  </si>
  <si>
    <t>1996077733</t>
  </si>
  <si>
    <t>Да, неофициально</t>
  </si>
  <si>
    <t>Ярославль, Ярославская область</t>
  </si>
  <si>
    <t>9</t>
  </si>
  <si>
    <t>1996080122</t>
  </si>
  <si>
    <t>3000</t>
  </si>
  <si>
    <t>1996092424</t>
  </si>
  <si>
    <t>Иркутск, Иркутская область</t>
  </si>
  <si>
    <t>1996104494</t>
  </si>
  <si>
    <t>9000</t>
  </si>
  <si>
    <t>1996106993</t>
  </si>
  <si>
    <t>Скорее пассивный (выхожу из дома не менее 2 дней в неделю)</t>
  </si>
  <si>
    <t>Екатеринбург, Свердловская область</t>
  </si>
  <si>
    <t>20000</t>
  </si>
  <si>
    <t>1996114680</t>
  </si>
  <si>
    <t>Волжский, Волгоградская область</t>
  </si>
  <si>
    <t>1996121848</t>
  </si>
  <si>
    <t>7000</t>
  </si>
  <si>
    <t>1996132591</t>
  </si>
  <si>
    <t>1996138979</t>
  </si>
  <si>
    <t>Тула, Тульская область</t>
  </si>
  <si>
    <t>2000</t>
  </si>
  <si>
    <t>1996145371</t>
  </si>
  <si>
    <t>Смоленск, Смоленская область</t>
  </si>
  <si>
    <t>6000</t>
  </si>
  <si>
    <t>1996145750</t>
  </si>
  <si>
    <t>1996149984</t>
  </si>
  <si>
    <t>1996170620</t>
  </si>
  <si>
    <t>15000</t>
  </si>
  <si>
    <t>1996179081</t>
  </si>
  <si>
    <t>1996222764</t>
  </si>
  <si>
    <t>1996283139</t>
  </si>
  <si>
    <t>Пассивный (выхожу из дома не чаще 1 дня в неделю)</t>
  </si>
  <si>
    <t>Санкт-Петербург, Санкт-Петербург и Ленинградская область</t>
  </si>
  <si>
    <t>1996289588</t>
  </si>
  <si>
    <t>10000</t>
  </si>
  <si>
    <t>1996305312</t>
  </si>
  <si>
    <t>1996328039</t>
  </si>
  <si>
    <t>1996328591</t>
  </si>
  <si>
    <t>1996330348</t>
  </si>
  <si>
    <t>1996330598</t>
  </si>
  <si>
    <t>1996331297</t>
  </si>
  <si>
    <t>1996352201</t>
  </si>
  <si>
    <t>1996357490</t>
  </si>
  <si>
    <t>1000</t>
  </si>
  <si>
    <t>1996382686</t>
  </si>
  <si>
    <t>Щёлково, Москва и Московская область</t>
  </si>
  <si>
    <t>2777</t>
  </si>
  <si>
    <t>1996462484</t>
  </si>
  <si>
    <t>Улан-Удэ, Республика Бурятия</t>
  </si>
  <si>
    <t>Яйца</t>
  </si>
  <si>
    <t>1996671051</t>
  </si>
  <si>
    <t>Мясо</t>
  </si>
  <si>
    <t>1997094996</t>
  </si>
  <si>
    <t>1997394046</t>
  </si>
  <si>
    <t>1997430362</t>
  </si>
  <si>
    <t>1997641102</t>
  </si>
  <si>
    <t>1999577997</t>
  </si>
  <si>
    <t>2009568744</t>
  </si>
  <si>
    <t>Новосибирск, Новосибирская область</t>
  </si>
  <si>
    <t>Наименование продукта</t>
  </si>
  <si>
    <t>Цена за ед. (₽)</t>
  </si>
  <si>
    <t>Хлебобулочные изделия и крупы</t>
  </si>
  <si>
    <t>Картофель</t>
  </si>
  <si>
    <t>Овощи</t>
  </si>
  <si>
    <t>Фрукты</t>
  </si>
  <si>
    <t>Сахар</t>
  </si>
  <si>
    <t>Рыба</t>
  </si>
  <si>
    <t>Молочные продукты</t>
  </si>
  <si>
    <t>Масло и жиры</t>
  </si>
  <si>
    <t>Чай и специи</t>
  </si>
  <si>
    <t>Москва</t>
  </si>
  <si>
    <t>Мин. потребление в нед</t>
  </si>
  <si>
    <t>больше нормы или нет (больше = 1, если вписывается в норму, то =0)</t>
  </si>
  <si>
    <t>москва ли (если москва, то =1, если не москва, то =0)</t>
  </si>
  <si>
    <t>сумма в неделю</t>
  </si>
  <si>
    <t>сумма траты на продукт в неделю</t>
  </si>
  <si>
    <t>сумма потребительской корзины</t>
  </si>
  <si>
    <t>Субъект РФ</t>
  </si>
  <si>
    <t>Величина прожиточного минимума на 2025 год (в руб.)</t>
  </si>
  <si>
    <t>Нормативный акт, установивший величину прожиточного минимума</t>
  </si>
  <si>
    <t>на душу населения</t>
  </si>
  <si>
    <t>для трудоспособного населения</t>
  </si>
  <si>
    <t>для пенсионеров</t>
  </si>
  <si>
    <t>для детей</t>
  </si>
  <si>
    <t>Постановление Правительства Москвы от 05.11.2024 N 2482-ПП</t>
  </si>
  <si>
    <t>Московская область</t>
  </si>
  <si>
    <t>Постановление Правительства Московской области от 13.08.2024 N 851-ПП</t>
  </si>
  <si>
    <t>Санкт-Петербург</t>
  </si>
  <si>
    <t>Постановление Правительства Санкт-Петербурга от 08.08.2024 N 682</t>
  </si>
  <si>
    <t>Ленинградская область</t>
  </si>
  <si>
    <t>18 405</t>
  </si>
  <si>
    <t>Постановление Правительства Ленинградской области от 02.08.2024 N 529</t>
  </si>
  <si>
    <t>Республика Адыгея (Адыгея)</t>
  </si>
  <si>
    <t>Постановление Кабинета Министров Республики Адыгея от 19.07.2024 N 108</t>
  </si>
  <si>
    <t>Республика Алтай</t>
  </si>
  <si>
    <t>Постановление Правительства Республики Алтай от 06.09.2024 N 312</t>
  </si>
  <si>
    <t>Республика Башкортостан</t>
  </si>
  <si>
    <t>Постановление Правительства Республики Башкортостан от 31.07.2024 N 323</t>
  </si>
  <si>
    <t>Республика Бурятия</t>
  </si>
  <si>
    <t>Постановление Правительства Республики Бурятия от 08.08.2024 N 456</t>
  </si>
  <si>
    <t>Республика Дагестан</t>
  </si>
  <si>
    <t>Постановление Правительства Республики Дагестан от 31.07.2024 N 227</t>
  </si>
  <si>
    <t>Республика Ингушетия</t>
  </si>
  <si>
    <t>Постановление Правительства Республики Ингушетия от 01.08.2024 N 135</t>
  </si>
  <si>
    <t>Кабардино-Балкарская Республика</t>
  </si>
  <si>
    <t>Постановление Правительства Кабардино-Балкарской Республики от 13.09.2024 N 142-ПП</t>
  </si>
  <si>
    <t>Республика Калмыкия</t>
  </si>
  <si>
    <t>Постановление Правительства Республики Калмыкия от 19.08.2024 N 251</t>
  </si>
  <si>
    <t>Карачаево-Черкесская Республика</t>
  </si>
  <si>
    <t>Постановление Правительства Карачаево-Черкесской Республики от 01.08.2024 N 158</t>
  </si>
  <si>
    <t>Республика Карелия</t>
  </si>
  <si>
    <t>19 684 &lt;*&gt;</t>
  </si>
  <si>
    <t>21 456 &lt;*&gt;</t>
  </si>
  <si>
    <t>16 928 &lt;*&gt;</t>
  </si>
  <si>
    <t>19 093 &lt;*&gt;</t>
  </si>
  <si>
    <t>Постановление Правительства Республики Карелия от 30.08.2024 N 270-П</t>
  </si>
  <si>
    <t>Республика Коми</t>
  </si>
  <si>
    <t>20 393 &lt;*&gt;</t>
  </si>
  <si>
    <t>22 228 &lt;*&gt;</t>
  </si>
  <si>
    <t>17 538 &lt;*&gt;</t>
  </si>
  <si>
    <t>19 781 &lt;*&gt;</t>
  </si>
  <si>
    <t>Постановление Правительства Республики Коми от 29.08.2024 N 363</t>
  </si>
  <si>
    <t>Республика Крым</t>
  </si>
  <si>
    <t>Постановление Совета министров Республики Крым от 12.08.2024 N 452</t>
  </si>
  <si>
    <t>Республика Марий Эл</t>
  </si>
  <si>
    <t>Постановление Правительства Республики Марий Эл от 30.08.2024 N 325</t>
  </si>
  <si>
    <t>Республика Мордовия</t>
  </si>
  <si>
    <t>Постановление Правительства Республики Мордовия от 05.07.2024 N 576</t>
  </si>
  <si>
    <t>Республика Саха (Якутия)</t>
  </si>
  <si>
    <t>26 777 &lt;*&gt;</t>
  </si>
  <si>
    <t>29 187 &lt;*&gt;</t>
  </si>
  <si>
    <t>23 028 &lt;*&gt;</t>
  </si>
  <si>
    <t>25 974 &lt;*&gt;</t>
  </si>
  <si>
    <t>Постановление Правительства Республики Саха (Якутия) от 26.08.2024 N 394</t>
  </si>
  <si>
    <t>Республика Северная Осетия - Алания</t>
  </si>
  <si>
    <t>Постановление Правительства Республики Северная Осетия-Алания от 08.08.2024 N 361</t>
  </si>
  <si>
    <t>Республика Татарстан (Татарстан)</t>
  </si>
  <si>
    <t>Постановление Кабинета Министров Республики Татарстан от 31.07.2024 N 609</t>
  </si>
  <si>
    <t>Республика Тыва</t>
  </si>
  <si>
    <t>Постановление Правительства Республики Тыва от 20.08.2024 N 413</t>
  </si>
  <si>
    <t>Удмуртская Республика</t>
  </si>
  <si>
    <t>Постановление Правительства Удмуртской Республики от 23.07.2024 N 384</t>
  </si>
  <si>
    <t>Республика Хакасия</t>
  </si>
  <si>
    <t>Постановление Правительства Республики Хакасия от 26.07.2024 N 434</t>
  </si>
  <si>
    <t>Чеченская Республика</t>
  </si>
  <si>
    <t>Постановление Правительства Чеченской Республики от 14.08.2024 N 175</t>
  </si>
  <si>
    <t>Чувашская Республика - Чувашия</t>
  </si>
  <si>
    <t>Постановление Кабинета Министров Чувашской Республики от 14.08.2024 N 470</t>
  </si>
  <si>
    <t>Алтайский край</t>
  </si>
  <si>
    <t>Постановление Правительства Алтайского края от 11.09.2024 N 337</t>
  </si>
  <si>
    <t>Забайкальский край</t>
  </si>
  <si>
    <t>Постановление Правительства Забайкальского края от 11.09.2024 N 454</t>
  </si>
  <si>
    <t>Камчатский край</t>
  </si>
  <si>
    <t>Постановление Правительства Камчатского края от 16.08.2024 N 400-П</t>
  </si>
  <si>
    <t>Краснодарский край</t>
  </si>
  <si>
    <t>Постановление Губернатора Краснодарского края от 06.09.2024 N 575</t>
  </si>
  <si>
    <t>Красноярский край</t>
  </si>
  <si>
    <t>19 684 &lt;*&gt;</t>
  </si>
  <si>
    <t>Постановление Правительства Красноярского края от 16.07.2024 N 517-п</t>
  </si>
  <si>
    <t>Пермский край</t>
  </si>
  <si>
    <t>Постановление Правительства Пермского края от 11.09.2024 N 611-п</t>
  </si>
  <si>
    <t>Приморский край</t>
  </si>
  <si>
    <t>Постановление Правительства Приморского края от 09.09.2024 N 636-пп</t>
  </si>
  <si>
    <t>Ставропольский край</t>
  </si>
  <si>
    <t>Постановление Правительства Ставропольского края от 25.08.2024 N 476-п</t>
  </si>
  <si>
    <t>Хабаровский край</t>
  </si>
  <si>
    <t>Постановление Правительства Хабаровского края от 12.08.2024 N 285-пр</t>
  </si>
  <si>
    <t>Амурская область</t>
  </si>
  <si>
    <t>20 090 &lt;*&gt;</t>
  </si>
  <si>
    <t>Постановление Правительства Амурской области от 06.09.2024 N 695</t>
  </si>
  <si>
    <t>Архангельская область</t>
  </si>
  <si>
    <t>20 570 &lt;*&gt;</t>
  </si>
  <si>
    <t>22 421 &lt;*&gt;</t>
  </si>
  <si>
    <t>17 690 &lt;*&gt;</t>
  </si>
  <si>
    <t>19 953 &lt;*&gt;</t>
  </si>
  <si>
    <t>Постановление Правительства Архангельской области от 26.08.2024 N 669-пп</t>
  </si>
  <si>
    <t>Астраханская область</t>
  </si>
  <si>
    <t>Постановление Правительства Астраханской области от 26.08.2024 N 551-П</t>
  </si>
  <si>
    <t>Белгородская область</t>
  </si>
  <si>
    <t>Постановление Правительства Белгородской области от 29.07.2024 N 326-пп</t>
  </si>
  <si>
    <t>Брянская область</t>
  </si>
  <si>
    <t>Постановление Правительства Брянской области от 15.07.2024 N 313-п</t>
  </si>
  <si>
    <t>Владимирская область</t>
  </si>
  <si>
    <t>Постановление Правительства Владимирской области от 26.07.2024 N 453</t>
  </si>
  <si>
    <t>Волгоградская область</t>
  </si>
  <si>
    <t>Постановление Администрации Волгоградской области от 03.09.2024 N 532-п</t>
  </si>
  <si>
    <t>Вологодская область</t>
  </si>
  <si>
    <t>Постановление Правительства Вологодской области от 23.08.2024 N 1048</t>
  </si>
  <si>
    <t>Воронежская область</t>
  </si>
  <si>
    <t>Постановление Правительства Воронежской области от 09.09.2024 N 622</t>
  </si>
  <si>
    <t>Ивановская область</t>
  </si>
  <si>
    <t>Постановление Правительства Ивановской области от 24.07.2024 N 324-п</t>
  </si>
  <si>
    <t>Иркутская область</t>
  </si>
  <si>
    <t>18 797 &lt;*&gt;</t>
  </si>
  <si>
    <t>20 489 &lt;*&gt;</t>
  </si>
  <si>
    <t>16 165 &lt;*&gt;</t>
  </si>
  <si>
    <t>18 233 &lt;*&gt;</t>
  </si>
  <si>
    <t>Постановление Правительства Иркутской области от 12.07.2024 N 547-пп</t>
  </si>
  <si>
    <t>Калининградская область</t>
  </si>
  <si>
    <t>Постановление Правительства Калининградской области от 05.09.2024 N 359-п</t>
  </si>
  <si>
    <t>Калужская область</t>
  </si>
  <si>
    <t>Постановление Правительства Калужской области от 23.08.2024 N 511</t>
  </si>
  <si>
    <t>Кемеровская область - Кузбасс</t>
  </si>
  <si>
    <t>Постановление Правительства Кемеровской области - Кузбасса от 25.07.2024 N 469</t>
  </si>
  <si>
    <t>Кировская область</t>
  </si>
  <si>
    <t>Постановление Правительства Кировской области от 09.08.2024 N 343-П</t>
  </si>
  <si>
    <t>Костромская область</t>
  </si>
  <si>
    <t>Постановление Администрации Костромской области от 15.07.2024 N 245-а</t>
  </si>
  <si>
    <t>Курганская область</t>
  </si>
  <si>
    <t>Постановление Правительства Курганской области от 07.08.2024 N 246</t>
  </si>
  <si>
    <t>Курская область</t>
  </si>
  <si>
    <t>Постановление Правительства Курской области от 29.07.2024 N 603-пп</t>
  </si>
  <si>
    <t>Липецкая область</t>
  </si>
  <si>
    <t>Постановление Правительства Липецкой области от 30.07.2024 N 446</t>
  </si>
  <si>
    <t>Магаданская область</t>
  </si>
  <si>
    <t>Постановление Правительства Магаданской области от 29.08.2024 N 422-пп</t>
  </si>
  <si>
    <t>Мурманская область</t>
  </si>
  <si>
    <t>Постановление Правительства Мурманской области от 12.09.2024 N 620-ПП</t>
  </si>
  <si>
    <t>Нижегородская область</t>
  </si>
  <si>
    <t>Постановление Правительства Нижегородской области от 29.07.2024 N 433</t>
  </si>
  <si>
    <t>Новгородская область</t>
  </si>
  <si>
    <t>Постановление Правительства Новгородской области от 08.08.2024 N 357</t>
  </si>
  <si>
    <t>Новосибирская область</t>
  </si>
  <si>
    <t>Постановление Правительства Новосибирской области от 06.08.2024 N 364-п</t>
  </si>
  <si>
    <t>Омская область</t>
  </si>
  <si>
    <t>Постановление Правительства Омской области от 17.07.2024 N 401-п</t>
  </si>
  <si>
    <t>Оренбургская область</t>
  </si>
  <si>
    <t>Постановление Правительства Оренбургской области от 26.07.2024 N 673-пп</t>
  </si>
  <si>
    <t>Орловская область</t>
  </si>
  <si>
    <t>Постановление Правительства Орловской области от 15.08.2024 N 524</t>
  </si>
  <si>
    <t>Пензенская область</t>
  </si>
  <si>
    <t>Постановление Правительства Пензенской области от 16.07.2024 N 470-пП</t>
  </si>
  <si>
    <t>Псковская область</t>
  </si>
  <si>
    <t>Постановление Правительства Псковской области от 21.08.2024 N 282</t>
  </si>
  <si>
    <t>Ростовская область</t>
  </si>
  <si>
    <t>Постановление Правительства Ростовской области от 19.08.2024 N 547</t>
  </si>
  <si>
    <t>Рязанская область</t>
  </si>
  <si>
    <t>Постановление Правительства Рязанской области от 09.07.2024 N 209</t>
  </si>
  <si>
    <t>Самарская область</t>
  </si>
  <si>
    <t>Постановление Правительства Самарской области от 25.07.2024 N 557</t>
  </si>
  <si>
    <t>Саратовская область</t>
  </si>
  <si>
    <t>Постановление Правительства Саратовской области от 13.08.2024 N 674-П</t>
  </si>
  <si>
    <t>Сахалинская область</t>
  </si>
  <si>
    <t>Постановление Правительства Сахалинской области от 19.07.2024 N 249</t>
  </si>
  <si>
    <t>Свердловская область</t>
  </si>
  <si>
    <t>Постановление Правительства Свердловской области от 15.08.2024 N 530-ПП</t>
  </si>
  <si>
    <t>Смоленская область</t>
  </si>
  <si>
    <t>Постановление Правительства Смоленской области от 17.07.2024 N 528</t>
  </si>
  <si>
    <t>Тамбовская область</t>
  </si>
  <si>
    <t>Постановление Правительства Тамбовской области от 09.09.2024 N 554</t>
  </si>
  <si>
    <t>Тверская область</t>
  </si>
  <si>
    <t>Постановление Правительства Тверской области от 27.09.2024 N 427-пп</t>
  </si>
  <si>
    <t>Томская область</t>
  </si>
  <si>
    <t>17 378 &lt;*&gt;</t>
  </si>
  <si>
    <t>18 942 &lt;*&gt;</t>
  </si>
  <si>
    <t>14 945 &lt;*&gt;</t>
  </si>
  <si>
    <t>16 857 &lt;*&gt;</t>
  </si>
  <si>
    <t>Постановление Администрации Томской области от 30.07.2024 N 301а</t>
  </si>
  <si>
    <t>Тульская область</t>
  </si>
  <si>
    <t>Постановление Правительства Тульской области от 29.08.2024 N 452</t>
  </si>
  <si>
    <t>Тюменская область</t>
  </si>
  <si>
    <t>Постановление Правительства Тюменской области от 29.07.2024 N 508-п</t>
  </si>
  <si>
    <t>Ульяновская область</t>
  </si>
  <si>
    <t>Постановление Правительства Ульяновской области от 30.07.2024 N 436-П</t>
  </si>
  <si>
    <t>Челябинская область</t>
  </si>
  <si>
    <t>Постановление Правительства Челябинской области от 09.09.2024 N 516-П</t>
  </si>
  <si>
    <t>Ярославская область</t>
  </si>
  <si>
    <t>Постановление Правительства Ярославской области от 06.08.2024 N 820-п</t>
  </si>
  <si>
    <t>Севастополь</t>
  </si>
  <si>
    <t>Постановление Правительства Севастополя от 05.09.2024 N 410-ПП</t>
  </si>
  <si>
    <t>Еврейская автономная область</t>
  </si>
  <si>
    <t>Постановление правительства Еврейской автономной области от 06.08.2024 N 318-пп</t>
  </si>
  <si>
    <t>Ненецкий автономный округ</t>
  </si>
  <si>
    <t>Постановление администрации Ненецкого автономного округа от 02.09.2024 N 206-п</t>
  </si>
  <si>
    <t>Ханты-Мансийский автономный округ - Югра</t>
  </si>
  <si>
    <t>Постановление Правительства Ханты-Мансийского автономного округа - Югры от 09.09.2024 N 326-п</t>
  </si>
  <si>
    <t>Чукотский автономный округ</t>
  </si>
  <si>
    <t>Постановление Правительства Чукотского автономного округа от 26.08.2024 N 294</t>
  </si>
  <si>
    <t>Ямало-Ненецкий автономный округ</t>
  </si>
  <si>
    <t>Постановление Правительства Ямало-Ненецкого автономного округа от 05.08.2024 N 419-П</t>
  </si>
  <si>
    <t xml:space="preserve">оф. продуктовая Корзина Данные москва </t>
  </si>
  <si>
    <t>оф. Данные по регионам продуктовая Корзина</t>
  </si>
  <si>
    <t>оф данные</t>
  </si>
  <si>
    <t>сумма в месяц на продукты</t>
  </si>
  <si>
    <t>Цена за ед. (₽) норма</t>
  </si>
  <si>
    <t>official_difference</t>
  </si>
  <si>
    <t>mind_difference</t>
  </si>
  <si>
    <t>official</t>
  </si>
  <si>
    <t>city</t>
  </si>
  <si>
    <t>salary</t>
  </si>
  <si>
    <t>job</t>
  </si>
  <si>
    <t>lifestyle</t>
  </si>
  <si>
    <t>age</t>
  </si>
  <si>
    <t>sex</t>
  </si>
  <si>
    <t>expectations</t>
  </si>
  <si>
    <t>больше 1.5 кг хлебобулочных изделий и круп</t>
  </si>
  <si>
    <t>больше 1.2 кг картофеля</t>
  </si>
  <si>
    <t>больше 1.3 кг овощей</t>
  </si>
  <si>
    <t>больше 700 г фруктов</t>
  </si>
  <si>
    <t>больше 300 г сахара</t>
  </si>
  <si>
    <t>больше 700 г мяса</t>
  </si>
  <si>
    <t>больше 200 г рыбы</t>
  </si>
  <si>
    <t>больше 3 яиц</t>
  </si>
  <si>
    <t>больше 3.5 кг молочных продуктов</t>
  </si>
  <si>
    <t>больше 150 г масла и жиров</t>
  </si>
  <si>
    <t>больше 60 г чая и специй</t>
  </si>
  <si>
    <t>active</t>
  </si>
  <si>
    <t>medium</t>
  </si>
  <si>
    <t>passive</t>
  </si>
  <si>
    <t>domestic</t>
  </si>
  <si>
    <t>крупа в неделю</t>
  </si>
  <si>
    <t>Картофель в неделю</t>
  </si>
  <si>
    <t>Овощи в неделю</t>
  </si>
  <si>
    <t>фрукты в неделю</t>
  </si>
  <si>
    <t>сахар в неделю</t>
  </si>
  <si>
    <t>мясо в неделю</t>
  </si>
  <si>
    <t>рыба в неделю</t>
  </si>
  <si>
    <t>молоко в неделю</t>
  </si>
  <si>
    <t>яйца в неделю</t>
  </si>
  <si>
    <t>масло в неделю</t>
  </si>
  <si>
    <t>чай в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</si>
</sst>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0"/>
      <color rgb="FF000000"/>
      <name val="Times New Roman"/>
      <family val="1"/>
      <charset val="204"/>
    </font>
    <font>
      <u/>
      <sz val="10"/>
      <color rgb="FF1A0DAB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0" xfId="0" applyFill="1" applyBorder="1"/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3" fontId="4" fillId="2" borderId="5" xfId="0" applyNumberFormat="1" applyFont="1" applyFill="1" applyBorder="1" applyAlignment="1">
      <alignment horizontal="center" vertical="center" wrapText="1"/>
    </xf>
    <xf numFmtId="0" fontId="6" fillId="2" borderId="5" xfId="1" applyFill="1" applyBorder="1" applyAlignment="1">
      <alignment horizontal="left" vertical="center" wrapText="1"/>
    </xf>
    <xf numFmtId="0" fontId="6" fillId="2" borderId="5" xfId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0" fillId="3" borderId="0" xfId="0" applyNumberFormat="1" applyFill="1"/>
    <xf numFmtId="0" fontId="0" fillId="3" borderId="0" xfId="0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152400</xdr:colOff>
      <xdr:row>51</xdr:row>
      <xdr:rowOff>55245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73200" cy="9382125"/>
        </a:xfrm>
        <a:prstGeom prst="rect">
          <a:avLst/>
        </a:prstGeom>
      </xdr:spPr>
    </xdr:pic>
    <xdr:clientData/>
  </xdr:twoCellAnchor>
  <xdr:twoCellAnchor editAs="oneCell">
    <xdr:from>
      <xdr:col>1</xdr:col>
      <xdr:colOff>605116</xdr:colOff>
      <xdr:row>51</xdr:row>
      <xdr:rowOff>134471</xdr:rowOff>
    </xdr:from>
    <xdr:to>
      <xdr:col>18</xdr:col>
      <xdr:colOff>513665</xdr:colOff>
      <xdr:row>89</xdr:row>
      <xdr:rowOff>61633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234" y="9278471"/>
          <a:ext cx="10195549" cy="674033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40</xdr:col>
      <xdr:colOff>514910</xdr:colOff>
      <xdr:row>50</xdr:row>
      <xdr:rowOff>80682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27941" y="358588"/>
          <a:ext cx="9591675" cy="868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nsultant.ru/document/cons_doc_LAW_407365/" TargetMode="External"/><Relationship Id="rId117" Type="http://schemas.openxmlformats.org/officeDocument/2006/relationships/hyperlink" Target="https://www.consultant.ru/document/cons_doc_LAW_407365/" TargetMode="External"/><Relationship Id="rId21" Type="http://schemas.openxmlformats.org/officeDocument/2006/relationships/hyperlink" Target="https://www.consultant.ru/document/cons_doc_LAW_407365/" TargetMode="External"/><Relationship Id="rId42" Type="http://schemas.openxmlformats.org/officeDocument/2006/relationships/hyperlink" Target="https://www.consultant.ru/document/cons_doc_LAW_407365/" TargetMode="External"/><Relationship Id="rId47" Type="http://schemas.openxmlformats.org/officeDocument/2006/relationships/hyperlink" Target="https://www.consultant.ru/document/cons_doc_LAW_407365/" TargetMode="External"/><Relationship Id="rId63" Type="http://schemas.openxmlformats.org/officeDocument/2006/relationships/hyperlink" Target="https://www.consultant.ru/document/cons_doc_LAW_407365/" TargetMode="External"/><Relationship Id="rId68" Type="http://schemas.openxmlformats.org/officeDocument/2006/relationships/hyperlink" Target="https://www.consultant.ru/document/cons_doc_LAW_407365/" TargetMode="External"/><Relationship Id="rId84" Type="http://schemas.openxmlformats.org/officeDocument/2006/relationships/hyperlink" Target="https://www.consultant.ru/document/cons_doc_LAW_407365/" TargetMode="External"/><Relationship Id="rId89" Type="http://schemas.openxmlformats.org/officeDocument/2006/relationships/hyperlink" Target="https://www.consultant.ru/document/cons_doc_LAW_407365/" TargetMode="External"/><Relationship Id="rId112" Type="http://schemas.openxmlformats.org/officeDocument/2006/relationships/hyperlink" Target="https://www.consultant.ru/document/cons_doc_LAW_407365/" TargetMode="External"/><Relationship Id="rId16" Type="http://schemas.openxmlformats.org/officeDocument/2006/relationships/hyperlink" Target="https://www.consultant.ru/document/cons_doc_LAW_407365/" TargetMode="External"/><Relationship Id="rId107" Type="http://schemas.openxmlformats.org/officeDocument/2006/relationships/hyperlink" Target="https://www.consultant.ru/document/cons_doc_LAW_407365/" TargetMode="External"/><Relationship Id="rId11" Type="http://schemas.openxmlformats.org/officeDocument/2006/relationships/hyperlink" Target="https://www.consultant.ru/document/cons_doc_LAW_407365/" TargetMode="External"/><Relationship Id="rId32" Type="http://schemas.openxmlformats.org/officeDocument/2006/relationships/hyperlink" Target="https://www.consultant.ru/document/cons_doc_LAW_407365/" TargetMode="External"/><Relationship Id="rId37" Type="http://schemas.openxmlformats.org/officeDocument/2006/relationships/hyperlink" Target="https://www.consultant.ru/document/cons_doc_LAW_407365/" TargetMode="External"/><Relationship Id="rId53" Type="http://schemas.openxmlformats.org/officeDocument/2006/relationships/hyperlink" Target="https://www.consultant.ru/document/cons_doc_LAW_407365/" TargetMode="External"/><Relationship Id="rId58" Type="http://schemas.openxmlformats.org/officeDocument/2006/relationships/hyperlink" Target="https://www.consultant.ru/document/cons_doc_LAW_407365/" TargetMode="External"/><Relationship Id="rId74" Type="http://schemas.openxmlformats.org/officeDocument/2006/relationships/hyperlink" Target="https://www.consultant.ru/document/cons_doc_LAW_407365/" TargetMode="External"/><Relationship Id="rId79" Type="http://schemas.openxmlformats.org/officeDocument/2006/relationships/hyperlink" Target="https://www.consultant.ru/document/cons_doc_LAW_407365/" TargetMode="External"/><Relationship Id="rId102" Type="http://schemas.openxmlformats.org/officeDocument/2006/relationships/hyperlink" Target="https://www.consultant.ru/document/cons_doc_LAW_407365/" TargetMode="External"/><Relationship Id="rId5" Type="http://schemas.openxmlformats.org/officeDocument/2006/relationships/hyperlink" Target="https://www.consultant.ru/document/cons_doc_LAW_407365/" TargetMode="External"/><Relationship Id="rId90" Type="http://schemas.openxmlformats.org/officeDocument/2006/relationships/hyperlink" Target="https://www.consultant.ru/document/cons_doc_LAW_407365/" TargetMode="External"/><Relationship Id="rId95" Type="http://schemas.openxmlformats.org/officeDocument/2006/relationships/hyperlink" Target="https://www.consultant.ru/document/cons_doc_LAW_407365/" TargetMode="External"/><Relationship Id="rId22" Type="http://schemas.openxmlformats.org/officeDocument/2006/relationships/hyperlink" Target="https://www.consultant.ru/document/cons_doc_LAW_407365/" TargetMode="External"/><Relationship Id="rId27" Type="http://schemas.openxmlformats.org/officeDocument/2006/relationships/hyperlink" Target="https://www.consultant.ru/document/cons_doc_LAW_407365/" TargetMode="External"/><Relationship Id="rId43" Type="http://schemas.openxmlformats.org/officeDocument/2006/relationships/hyperlink" Target="https://www.consultant.ru/document/cons_doc_LAW_407365/" TargetMode="External"/><Relationship Id="rId48" Type="http://schemas.openxmlformats.org/officeDocument/2006/relationships/hyperlink" Target="https://www.consultant.ru/document/cons_doc_LAW_407365/" TargetMode="External"/><Relationship Id="rId64" Type="http://schemas.openxmlformats.org/officeDocument/2006/relationships/hyperlink" Target="https://www.consultant.ru/document/cons_doc_LAW_407365/" TargetMode="External"/><Relationship Id="rId69" Type="http://schemas.openxmlformats.org/officeDocument/2006/relationships/hyperlink" Target="https://www.consultant.ru/document/cons_doc_LAW_407365/" TargetMode="External"/><Relationship Id="rId113" Type="http://schemas.openxmlformats.org/officeDocument/2006/relationships/hyperlink" Target="https://www.consultant.ru/document/cons_doc_LAW_407365/" TargetMode="External"/><Relationship Id="rId80" Type="http://schemas.openxmlformats.org/officeDocument/2006/relationships/hyperlink" Target="https://www.consultant.ru/document/cons_doc_LAW_407365/" TargetMode="External"/><Relationship Id="rId85" Type="http://schemas.openxmlformats.org/officeDocument/2006/relationships/hyperlink" Target="https://www.consultant.ru/document/cons_doc_LAW_407365/" TargetMode="External"/><Relationship Id="rId12" Type="http://schemas.openxmlformats.org/officeDocument/2006/relationships/hyperlink" Target="https://www.consultant.ru/document/cons_doc_LAW_407365/" TargetMode="External"/><Relationship Id="rId17" Type="http://schemas.openxmlformats.org/officeDocument/2006/relationships/hyperlink" Target="https://www.consultant.ru/document/cons_doc_LAW_407365/" TargetMode="External"/><Relationship Id="rId33" Type="http://schemas.openxmlformats.org/officeDocument/2006/relationships/hyperlink" Target="https://www.consultant.ru/document/cons_doc_LAW_407365/" TargetMode="External"/><Relationship Id="rId38" Type="http://schemas.openxmlformats.org/officeDocument/2006/relationships/hyperlink" Target="https://www.consultant.ru/document/cons_doc_LAW_407365/" TargetMode="External"/><Relationship Id="rId59" Type="http://schemas.openxmlformats.org/officeDocument/2006/relationships/hyperlink" Target="https://www.consultant.ru/document/cons_doc_LAW_407365/" TargetMode="External"/><Relationship Id="rId103" Type="http://schemas.openxmlformats.org/officeDocument/2006/relationships/hyperlink" Target="https://www.consultant.ru/document/cons_doc_LAW_407365/" TargetMode="External"/><Relationship Id="rId108" Type="http://schemas.openxmlformats.org/officeDocument/2006/relationships/hyperlink" Target="https://www.consultant.ru/document/cons_doc_LAW_407365/" TargetMode="External"/><Relationship Id="rId54" Type="http://schemas.openxmlformats.org/officeDocument/2006/relationships/hyperlink" Target="https://www.consultant.ru/document/cons_doc_LAW_407365/" TargetMode="External"/><Relationship Id="rId70" Type="http://schemas.openxmlformats.org/officeDocument/2006/relationships/hyperlink" Target="https://www.consultant.ru/document/cons_doc_LAW_407365/" TargetMode="External"/><Relationship Id="rId75" Type="http://schemas.openxmlformats.org/officeDocument/2006/relationships/hyperlink" Target="https://www.consultant.ru/document/cons_doc_LAW_407365/" TargetMode="External"/><Relationship Id="rId91" Type="http://schemas.openxmlformats.org/officeDocument/2006/relationships/hyperlink" Target="https://www.consultant.ru/document/cons_doc_LAW_407365/" TargetMode="External"/><Relationship Id="rId96" Type="http://schemas.openxmlformats.org/officeDocument/2006/relationships/hyperlink" Target="https://www.consultant.ru/document/cons_doc_LAW_407365/" TargetMode="External"/><Relationship Id="rId1" Type="http://schemas.openxmlformats.org/officeDocument/2006/relationships/hyperlink" Target="https://www.consultant.ru/document/cons_doc_LAW_407365/" TargetMode="External"/><Relationship Id="rId6" Type="http://schemas.openxmlformats.org/officeDocument/2006/relationships/hyperlink" Target="https://www.consultant.ru/document/cons_doc_LAW_407365/" TargetMode="External"/><Relationship Id="rId23" Type="http://schemas.openxmlformats.org/officeDocument/2006/relationships/hyperlink" Target="https://www.consultant.ru/document/cons_doc_LAW_407365/" TargetMode="External"/><Relationship Id="rId28" Type="http://schemas.openxmlformats.org/officeDocument/2006/relationships/hyperlink" Target="https://www.consultant.ru/document/cons_doc_LAW_407365/" TargetMode="External"/><Relationship Id="rId49" Type="http://schemas.openxmlformats.org/officeDocument/2006/relationships/hyperlink" Target="https://www.consultant.ru/document/cons_doc_LAW_407365/" TargetMode="External"/><Relationship Id="rId114" Type="http://schemas.openxmlformats.org/officeDocument/2006/relationships/hyperlink" Target="https://www.consultant.ru/document/cons_doc_LAW_407365/" TargetMode="External"/><Relationship Id="rId10" Type="http://schemas.openxmlformats.org/officeDocument/2006/relationships/hyperlink" Target="https://www.consultant.ru/document/cons_doc_LAW_407365/" TargetMode="External"/><Relationship Id="rId31" Type="http://schemas.openxmlformats.org/officeDocument/2006/relationships/hyperlink" Target="https://www.consultant.ru/document/cons_doc_LAW_407365/" TargetMode="External"/><Relationship Id="rId44" Type="http://schemas.openxmlformats.org/officeDocument/2006/relationships/hyperlink" Target="https://www.consultant.ru/document/cons_doc_LAW_407365/" TargetMode="External"/><Relationship Id="rId52" Type="http://schemas.openxmlformats.org/officeDocument/2006/relationships/hyperlink" Target="https://www.consultant.ru/document/cons_doc_LAW_407365/" TargetMode="External"/><Relationship Id="rId60" Type="http://schemas.openxmlformats.org/officeDocument/2006/relationships/hyperlink" Target="https://www.consultant.ru/document/cons_doc_LAW_407365/" TargetMode="External"/><Relationship Id="rId65" Type="http://schemas.openxmlformats.org/officeDocument/2006/relationships/hyperlink" Target="https://www.consultant.ru/document/cons_doc_LAW_407365/" TargetMode="External"/><Relationship Id="rId73" Type="http://schemas.openxmlformats.org/officeDocument/2006/relationships/hyperlink" Target="https://www.consultant.ru/document/cons_doc_LAW_407365/" TargetMode="External"/><Relationship Id="rId78" Type="http://schemas.openxmlformats.org/officeDocument/2006/relationships/hyperlink" Target="https://www.consultant.ru/document/cons_doc_LAW_407365/" TargetMode="External"/><Relationship Id="rId81" Type="http://schemas.openxmlformats.org/officeDocument/2006/relationships/hyperlink" Target="https://www.consultant.ru/document/cons_doc_LAW_407365/" TargetMode="External"/><Relationship Id="rId86" Type="http://schemas.openxmlformats.org/officeDocument/2006/relationships/hyperlink" Target="https://www.consultant.ru/document/cons_doc_LAW_407365/" TargetMode="External"/><Relationship Id="rId94" Type="http://schemas.openxmlformats.org/officeDocument/2006/relationships/hyperlink" Target="https://www.consultant.ru/document/cons_doc_LAW_407365/" TargetMode="External"/><Relationship Id="rId99" Type="http://schemas.openxmlformats.org/officeDocument/2006/relationships/hyperlink" Target="https://www.consultant.ru/document/cons_doc_LAW_407365/" TargetMode="External"/><Relationship Id="rId101" Type="http://schemas.openxmlformats.org/officeDocument/2006/relationships/hyperlink" Target="https://www.consultant.ru/document/cons_doc_LAW_407365/" TargetMode="External"/><Relationship Id="rId4" Type="http://schemas.openxmlformats.org/officeDocument/2006/relationships/hyperlink" Target="https://www.consultant.ru/document/cons_doc_LAW_407365/" TargetMode="External"/><Relationship Id="rId9" Type="http://schemas.openxmlformats.org/officeDocument/2006/relationships/hyperlink" Target="https://www.consultant.ru/document/cons_doc_LAW_407365/" TargetMode="External"/><Relationship Id="rId13" Type="http://schemas.openxmlformats.org/officeDocument/2006/relationships/hyperlink" Target="https://www.consultant.ru/document/cons_doc_LAW_407365/" TargetMode="External"/><Relationship Id="rId18" Type="http://schemas.openxmlformats.org/officeDocument/2006/relationships/hyperlink" Target="https://www.consultant.ru/document/cons_doc_LAW_407365/" TargetMode="External"/><Relationship Id="rId39" Type="http://schemas.openxmlformats.org/officeDocument/2006/relationships/hyperlink" Target="https://www.consultant.ru/document/cons_doc_LAW_407365/" TargetMode="External"/><Relationship Id="rId109" Type="http://schemas.openxmlformats.org/officeDocument/2006/relationships/hyperlink" Target="https://www.consultant.ru/document/cons_doc_LAW_407365/" TargetMode="External"/><Relationship Id="rId34" Type="http://schemas.openxmlformats.org/officeDocument/2006/relationships/hyperlink" Target="https://www.consultant.ru/document/cons_doc_LAW_407365/" TargetMode="External"/><Relationship Id="rId50" Type="http://schemas.openxmlformats.org/officeDocument/2006/relationships/hyperlink" Target="https://www.consultant.ru/document/cons_doc_LAW_407365/" TargetMode="External"/><Relationship Id="rId55" Type="http://schemas.openxmlformats.org/officeDocument/2006/relationships/hyperlink" Target="https://www.consultant.ru/document/cons_doc_LAW_407365/" TargetMode="External"/><Relationship Id="rId76" Type="http://schemas.openxmlformats.org/officeDocument/2006/relationships/hyperlink" Target="https://www.consultant.ru/document/cons_doc_LAW_407365/" TargetMode="External"/><Relationship Id="rId97" Type="http://schemas.openxmlformats.org/officeDocument/2006/relationships/hyperlink" Target="https://www.consultant.ru/document/cons_doc_LAW_407365/" TargetMode="External"/><Relationship Id="rId104" Type="http://schemas.openxmlformats.org/officeDocument/2006/relationships/hyperlink" Target="https://www.consultant.ru/document/cons_doc_LAW_407365/" TargetMode="External"/><Relationship Id="rId7" Type="http://schemas.openxmlformats.org/officeDocument/2006/relationships/hyperlink" Target="https://www.consultant.ru/document/cons_doc_LAW_407365/" TargetMode="External"/><Relationship Id="rId71" Type="http://schemas.openxmlformats.org/officeDocument/2006/relationships/hyperlink" Target="https://www.consultant.ru/document/cons_doc_LAW_407365/" TargetMode="External"/><Relationship Id="rId92" Type="http://schemas.openxmlformats.org/officeDocument/2006/relationships/hyperlink" Target="https://www.consultant.ru/document/cons_doc_LAW_407365/" TargetMode="External"/><Relationship Id="rId2" Type="http://schemas.openxmlformats.org/officeDocument/2006/relationships/hyperlink" Target="https://www.consultant.ru/document/cons_doc_LAW_407365/" TargetMode="External"/><Relationship Id="rId29" Type="http://schemas.openxmlformats.org/officeDocument/2006/relationships/hyperlink" Target="https://www.consultant.ru/document/cons_doc_LAW_407365/" TargetMode="External"/><Relationship Id="rId24" Type="http://schemas.openxmlformats.org/officeDocument/2006/relationships/hyperlink" Target="https://www.consultant.ru/document/cons_doc_LAW_407365/" TargetMode="External"/><Relationship Id="rId40" Type="http://schemas.openxmlformats.org/officeDocument/2006/relationships/hyperlink" Target="https://www.consultant.ru/document/cons_doc_LAW_407365/" TargetMode="External"/><Relationship Id="rId45" Type="http://schemas.openxmlformats.org/officeDocument/2006/relationships/hyperlink" Target="https://www.consultant.ru/document/cons_doc_LAW_407365/" TargetMode="External"/><Relationship Id="rId66" Type="http://schemas.openxmlformats.org/officeDocument/2006/relationships/hyperlink" Target="https://www.consultant.ru/document/cons_doc_LAW_407365/" TargetMode="External"/><Relationship Id="rId87" Type="http://schemas.openxmlformats.org/officeDocument/2006/relationships/hyperlink" Target="https://www.consultant.ru/document/cons_doc_LAW_407365/" TargetMode="External"/><Relationship Id="rId110" Type="http://schemas.openxmlformats.org/officeDocument/2006/relationships/hyperlink" Target="https://www.consultant.ru/document/cons_doc_LAW_407365/" TargetMode="External"/><Relationship Id="rId115" Type="http://schemas.openxmlformats.org/officeDocument/2006/relationships/hyperlink" Target="https://www.consultant.ru/document/cons_doc_LAW_407365/" TargetMode="External"/><Relationship Id="rId61" Type="http://schemas.openxmlformats.org/officeDocument/2006/relationships/hyperlink" Target="https://www.consultant.ru/document/cons_doc_LAW_407365/" TargetMode="External"/><Relationship Id="rId82" Type="http://schemas.openxmlformats.org/officeDocument/2006/relationships/hyperlink" Target="https://www.consultant.ru/document/cons_doc_LAW_407365/" TargetMode="External"/><Relationship Id="rId19" Type="http://schemas.openxmlformats.org/officeDocument/2006/relationships/hyperlink" Target="https://www.consultant.ru/document/cons_doc_LAW_407365/" TargetMode="External"/><Relationship Id="rId14" Type="http://schemas.openxmlformats.org/officeDocument/2006/relationships/hyperlink" Target="https://www.consultant.ru/document/cons_doc_LAW_407365/" TargetMode="External"/><Relationship Id="rId30" Type="http://schemas.openxmlformats.org/officeDocument/2006/relationships/hyperlink" Target="https://www.consultant.ru/document/cons_doc_LAW_407365/" TargetMode="External"/><Relationship Id="rId35" Type="http://schemas.openxmlformats.org/officeDocument/2006/relationships/hyperlink" Target="https://www.consultant.ru/document/cons_doc_LAW_407365/" TargetMode="External"/><Relationship Id="rId56" Type="http://schemas.openxmlformats.org/officeDocument/2006/relationships/hyperlink" Target="https://www.consultant.ru/document/cons_doc_LAW_407365/" TargetMode="External"/><Relationship Id="rId77" Type="http://schemas.openxmlformats.org/officeDocument/2006/relationships/hyperlink" Target="https://www.consultant.ru/document/cons_doc_LAW_407365/" TargetMode="External"/><Relationship Id="rId100" Type="http://schemas.openxmlformats.org/officeDocument/2006/relationships/hyperlink" Target="https://www.consultant.ru/document/cons_doc_LAW_407365/" TargetMode="External"/><Relationship Id="rId105" Type="http://schemas.openxmlformats.org/officeDocument/2006/relationships/hyperlink" Target="https://www.consultant.ru/document/cons_doc_LAW_407365/" TargetMode="External"/><Relationship Id="rId8" Type="http://schemas.openxmlformats.org/officeDocument/2006/relationships/hyperlink" Target="https://www.consultant.ru/document/cons_doc_LAW_407365/" TargetMode="External"/><Relationship Id="rId51" Type="http://schemas.openxmlformats.org/officeDocument/2006/relationships/hyperlink" Target="https://www.consultant.ru/document/cons_doc_LAW_407365/" TargetMode="External"/><Relationship Id="rId72" Type="http://schemas.openxmlformats.org/officeDocument/2006/relationships/hyperlink" Target="https://www.consultant.ru/document/cons_doc_LAW_407365/" TargetMode="External"/><Relationship Id="rId93" Type="http://schemas.openxmlformats.org/officeDocument/2006/relationships/hyperlink" Target="https://www.consultant.ru/document/cons_doc_LAW_407365/" TargetMode="External"/><Relationship Id="rId98" Type="http://schemas.openxmlformats.org/officeDocument/2006/relationships/hyperlink" Target="https://www.consultant.ru/document/cons_doc_LAW_407365/" TargetMode="External"/><Relationship Id="rId3" Type="http://schemas.openxmlformats.org/officeDocument/2006/relationships/hyperlink" Target="https://www.consultant.ru/document/cons_doc_LAW_407365/" TargetMode="External"/><Relationship Id="rId25" Type="http://schemas.openxmlformats.org/officeDocument/2006/relationships/hyperlink" Target="https://www.consultant.ru/document/cons_doc_LAW_407365/" TargetMode="External"/><Relationship Id="rId46" Type="http://schemas.openxmlformats.org/officeDocument/2006/relationships/hyperlink" Target="https://www.consultant.ru/document/cons_doc_LAW_407365/" TargetMode="External"/><Relationship Id="rId67" Type="http://schemas.openxmlformats.org/officeDocument/2006/relationships/hyperlink" Target="https://www.consultant.ru/document/cons_doc_LAW_407365/" TargetMode="External"/><Relationship Id="rId116" Type="http://schemas.openxmlformats.org/officeDocument/2006/relationships/hyperlink" Target="https://www.consultant.ru/document/cons_doc_LAW_407365/" TargetMode="External"/><Relationship Id="rId20" Type="http://schemas.openxmlformats.org/officeDocument/2006/relationships/hyperlink" Target="https://www.consultant.ru/document/cons_doc_LAW_407365/" TargetMode="External"/><Relationship Id="rId41" Type="http://schemas.openxmlformats.org/officeDocument/2006/relationships/hyperlink" Target="https://www.consultant.ru/document/cons_doc_LAW_407365/" TargetMode="External"/><Relationship Id="rId62" Type="http://schemas.openxmlformats.org/officeDocument/2006/relationships/hyperlink" Target="https://www.consultant.ru/document/cons_doc_LAW_407365/" TargetMode="External"/><Relationship Id="rId83" Type="http://schemas.openxmlformats.org/officeDocument/2006/relationships/hyperlink" Target="https://www.consultant.ru/document/cons_doc_LAW_407365/" TargetMode="External"/><Relationship Id="rId88" Type="http://schemas.openxmlformats.org/officeDocument/2006/relationships/hyperlink" Target="https://www.consultant.ru/document/cons_doc_LAW_407365/" TargetMode="External"/><Relationship Id="rId111" Type="http://schemas.openxmlformats.org/officeDocument/2006/relationships/hyperlink" Target="https://www.consultant.ru/document/cons_doc_LAW_407365/" TargetMode="External"/><Relationship Id="rId15" Type="http://schemas.openxmlformats.org/officeDocument/2006/relationships/hyperlink" Target="https://www.consultant.ru/document/cons_doc_LAW_407365/" TargetMode="External"/><Relationship Id="rId36" Type="http://schemas.openxmlformats.org/officeDocument/2006/relationships/hyperlink" Target="https://www.consultant.ru/document/cons_doc_LAW_407365/" TargetMode="External"/><Relationship Id="rId57" Type="http://schemas.openxmlformats.org/officeDocument/2006/relationships/hyperlink" Target="https://www.consultant.ru/document/cons_doc_LAW_407365/" TargetMode="External"/><Relationship Id="rId106" Type="http://schemas.openxmlformats.org/officeDocument/2006/relationships/hyperlink" Target="https://www.consultant.ru/document/cons_doc_LAW_40736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46"/>
  <sheetViews>
    <sheetView topLeftCell="T33" zoomScale="71" zoomScaleNormal="100" workbookViewId="0">
      <selection activeCell="AI1" sqref="AI1:AI40"/>
    </sheetView>
  </sheetViews>
  <sheetFormatPr defaultRowHeight="14.4" x14ac:dyDescent="0.3"/>
  <cols>
    <col min="37" max="37" width="11.44140625" bestFit="1" customWidth="1"/>
    <col min="44" max="44" width="9.109375" bestFit="1" customWidth="1"/>
    <col min="45" max="45" width="10.44140625" bestFit="1" customWidth="1"/>
    <col min="49" max="49" width="11.44140625" bestFit="1" customWidth="1"/>
    <col min="50" max="50" width="12.33203125" bestFit="1" customWidth="1"/>
    <col min="51" max="59" width="9.44140625" bestFit="1" customWidth="1"/>
    <col min="87" max="87" width="12.33203125" bestFit="1" customWidth="1"/>
  </cols>
  <sheetData>
    <row r="1" spans="1:72" ht="86.4" x14ac:dyDescent="0.3">
      <c r="A1" s="3" t="s">
        <v>0</v>
      </c>
      <c r="B1" s="3" t="s">
        <v>350</v>
      </c>
      <c r="C1" s="3" t="s">
        <v>349</v>
      </c>
      <c r="D1" s="3" t="s">
        <v>348</v>
      </c>
      <c r="E1" s="3" t="s">
        <v>347</v>
      </c>
      <c r="F1" s="3" t="s">
        <v>346</v>
      </c>
      <c r="G1" s="3" t="s">
        <v>345</v>
      </c>
      <c r="H1" s="3" t="s">
        <v>351</v>
      </c>
      <c r="I1" s="3" t="s">
        <v>352</v>
      </c>
      <c r="J1" s="3" t="s">
        <v>353</v>
      </c>
      <c r="K1" s="3" t="s">
        <v>354</v>
      </c>
      <c r="L1" s="3" t="s">
        <v>355</v>
      </c>
      <c r="M1" s="3" t="s">
        <v>356</v>
      </c>
      <c r="N1" s="3" t="s">
        <v>357</v>
      </c>
      <c r="O1" s="3" t="s">
        <v>358</v>
      </c>
      <c r="P1" s="3" t="s">
        <v>360</v>
      </c>
      <c r="Q1" s="3" t="s">
        <v>359</v>
      </c>
      <c r="R1" s="3" t="s">
        <v>361</v>
      </c>
      <c r="S1" s="3" t="s">
        <v>362</v>
      </c>
      <c r="T1" s="24" t="s">
        <v>367</v>
      </c>
      <c r="U1" s="24" t="s">
        <v>368</v>
      </c>
      <c r="V1" s="24" t="s">
        <v>369</v>
      </c>
      <c r="W1" s="24" t="s">
        <v>370</v>
      </c>
      <c r="X1" s="24" t="s">
        <v>371</v>
      </c>
      <c r="Y1" s="24" t="s">
        <v>372</v>
      </c>
      <c r="Z1" s="24" t="s">
        <v>373</v>
      </c>
      <c r="AA1" s="24" t="s">
        <v>374</v>
      </c>
      <c r="AB1" s="24" t="s">
        <v>375</v>
      </c>
      <c r="AC1" s="24" t="s">
        <v>376</v>
      </c>
      <c r="AD1" s="24" t="s">
        <v>377</v>
      </c>
      <c r="AE1" s="5" t="s">
        <v>131</v>
      </c>
      <c r="AF1" s="4" t="s">
        <v>340</v>
      </c>
      <c r="AG1" s="16" t="s">
        <v>133</v>
      </c>
      <c r="AH1" s="5" t="s">
        <v>344</v>
      </c>
      <c r="AI1" s="5" t="s">
        <v>342</v>
      </c>
      <c r="AJ1" s="5" t="s">
        <v>343</v>
      </c>
      <c r="AM1" s="1"/>
      <c r="AN1" s="1"/>
      <c r="AO1" s="1"/>
      <c r="AP1" s="5"/>
      <c r="AQ1" s="5"/>
      <c r="AR1" s="5"/>
      <c r="AS1" s="5"/>
      <c r="AT1" s="5"/>
      <c r="AU1" s="5"/>
      <c r="AV1" s="5"/>
      <c r="AW1" s="5"/>
      <c r="AX1" s="5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s="1" customFormat="1" ht="279" customHeight="1" x14ac:dyDescent="0.3">
      <c r="A2" s="3" t="s">
        <v>30</v>
      </c>
      <c r="B2" s="3" t="s">
        <v>31</v>
      </c>
      <c r="C2" s="3">
        <v>20</v>
      </c>
      <c r="D2" s="3" t="s">
        <v>363</v>
      </c>
      <c r="E2" s="3" t="s">
        <v>42</v>
      </c>
      <c r="F2" s="3">
        <v>60000</v>
      </c>
      <c r="G2" s="3" t="s">
        <v>127</v>
      </c>
      <c r="H2" s="3" t="s">
        <v>34</v>
      </c>
      <c r="I2" s="3" t="s">
        <v>42</v>
      </c>
      <c r="J2" s="3" t="s">
        <v>43</v>
      </c>
      <c r="K2" s="3" t="s">
        <v>42</v>
      </c>
      <c r="L2" s="3" t="s">
        <v>43</v>
      </c>
      <c r="M2" s="3" t="s">
        <v>42</v>
      </c>
      <c r="N2" s="3" t="s">
        <v>42</v>
      </c>
      <c r="O2" s="3" t="s">
        <v>43</v>
      </c>
      <c r="P2" s="3" t="s">
        <v>43</v>
      </c>
      <c r="Q2" s="3" t="s">
        <v>43</v>
      </c>
      <c r="R2" s="3" t="s">
        <v>42</v>
      </c>
      <c r="S2" s="3" t="s">
        <v>43</v>
      </c>
      <c r="T2" s="7">
        <f>IF($G2="Москва",1.3*(IF(IF(I2="Да",1,0)=1,1.4*Лист2!AX$1,Лист2!AX$1)),(IF(IF(I2="Да",1,0)=1,1.4*Лист2!AX$1,Лист2!AX$1)))</f>
        <v>396.9</v>
      </c>
      <c r="U2" s="7">
        <f>IF($G2="Москва",1.3*(IF(IF(J2="Да",1,0)=1,1.4*Лист2!AY$1,Лист2!AY$1)),(IF(IF(J2="Да",1,0)=1,1.4*Лист2!AY$1,Лист2!AY$1)))</f>
        <v>250.00000000000003</v>
      </c>
      <c r="V2" s="7">
        <f>IF($G2="Москва",1.3*(IF(IF(K2="Да",1,0)=1,1.4*Лист2!AZ$1,Лист2!AZ$1)),(IF(IF(K2="Да",1,0)=1,1.4*Лист2!AZ$1,Лист2!AZ$1)))</f>
        <v>1197</v>
      </c>
      <c r="W2" s="7">
        <f>IF($G2="Москва",1.3*(IF(IF(L2="Да",1,0)=1,1.4*Лист2!BA$1,Лист2!BA$1)),(IF(IF(L2="Да",1,0)=1,1.4*Лист2!BA$1,Лист2!BA$1)))</f>
        <v>300</v>
      </c>
      <c r="X2" s="7">
        <f>IF($G2="Москва",1.3*(IF(IF(M2="Да",1,0)=1,1.4*Лист2!BB$1,Лист2!BB$1)),(IF(IF(M2="Да",1,0)=1,1.4*Лист2!BB$1,Лист2!BB$1)))</f>
        <v>64.400000000000006</v>
      </c>
      <c r="Y2" s="7">
        <f>IF($G2="Москва",1.3*(IF(IF(N2="Да",1,0)=1,1.4*Лист2!BC$1,Лист2!BC$1)),(IF(IF(N2="Да",1,0)=1,1.4*Лист2!BC$1,Лист2!BC$1)))</f>
        <v>1218</v>
      </c>
      <c r="Z2" s="7">
        <f>IF($G2="Москва",1.3*(IF(IF(O2="Да",1,0)=1,1.4*Лист2!BD$1,Лист2!BD$1)),(IF(IF(O2="Да",1,0)=1,1.4*Лист2!BD$1,Лист2!BD$1)))</f>
        <v>315</v>
      </c>
      <c r="AA2" s="7">
        <f>IF($G2="Москва",1.3*(IF(IF(P2="Да",1,0)=1,1.4*Лист2!BE$1,Лист2!BE$1)),(IF(IF(P2="Да",1,0)=1,1.4*Лист2!BE$1,Лист2!BE$1)))</f>
        <v>724.99999999999989</v>
      </c>
      <c r="AB2" s="7">
        <f>IF($G2="Москва",1.3*(IF(IF(Q2="Да",1,0)=1,1.4*Лист2!BF$1,Лист2!BF$1)),(IF(IF(Q2="Да",1,0)=1,1.4*Лист2!BF$1,Лист2!BF$1)))</f>
        <v>63</v>
      </c>
      <c r="AC2" s="7">
        <f>IF($G2="Москва",1.3*(IF(IF(R2="Да",1,0)=1,1.4*Лист2!BG$1,Лист2!BG$1)),(IF(IF(R2="Да",1,0)=1,1.4*Лист2!BG$1,Лист2!BG$1)))</f>
        <v>53.9</v>
      </c>
      <c r="AD2" s="7">
        <f>IF($G2="Москва",1.3*(IF(IF(S2="Да",1,0)=1,1.4*Лист2!BH$1,Лист2!BH$1)),(IF(IF(S2="Да",1,0)=1,1.4*Лист2!BH$1,Лист2!BH$1)))</f>
        <v>156.25</v>
      </c>
      <c r="AE2" s="9">
        <f>SUM(T2:AD2)</f>
        <v>4739.45</v>
      </c>
      <c r="AF2">
        <f>AE2*4.2</f>
        <v>19905.689999999999</v>
      </c>
      <c r="AG2">
        <f>AF2*2</f>
        <v>39811.379999999997</v>
      </c>
      <c r="AH2">
        <f>IF(IF(G2="Москва",1,0)=1,Лист2!$BK$6,Лист2!$BL$6)</f>
        <v>13651</v>
      </c>
      <c r="AI2">
        <f>AH2-AF2</f>
        <v>-6254.6899999999987</v>
      </c>
      <c r="AJ2">
        <f>(H2-AE2)*4.2</f>
        <v>11594.310000000001</v>
      </c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s="5"/>
      <c r="AZ2" s="5"/>
      <c r="BB2"/>
      <c r="BC2"/>
      <c r="BD2"/>
      <c r="BE2"/>
      <c r="BF2"/>
      <c r="BG2"/>
      <c r="BH2"/>
      <c r="BI2"/>
      <c r="BJ2"/>
      <c r="BK2"/>
      <c r="BL2"/>
      <c r="BM2"/>
      <c r="BN2"/>
      <c r="BO2"/>
    </row>
    <row r="3" spans="1:72" s="1" customFormat="1" ht="279" customHeight="1" x14ac:dyDescent="0.3">
      <c r="A3" s="3" t="s">
        <v>44</v>
      </c>
      <c r="B3" s="3" t="s">
        <v>45</v>
      </c>
      <c r="C3" s="3">
        <v>35</v>
      </c>
      <c r="D3" s="3" t="s">
        <v>364</v>
      </c>
      <c r="E3" s="3" t="s">
        <v>42</v>
      </c>
      <c r="F3" s="3">
        <v>30000</v>
      </c>
      <c r="G3" s="3" t="s">
        <v>127</v>
      </c>
      <c r="H3" s="3" t="s">
        <v>47</v>
      </c>
      <c r="I3" s="3" t="s">
        <v>42</v>
      </c>
      <c r="J3" s="3" t="s">
        <v>43</v>
      </c>
      <c r="K3" s="3" t="s">
        <v>43</v>
      </c>
      <c r="L3" s="3" t="s">
        <v>43</v>
      </c>
      <c r="M3" s="3" t="s">
        <v>43</v>
      </c>
      <c r="N3" s="3" t="s">
        <v>42</v>
      </c>
      <c r="O3" s="3" t="s">
        <v>43</v>
      </c>
      <c r="P3" s="3" t="s">
        <v>42</v>
      </c>
      <c r="Q3" s="3" t="s">
        <v>42</v>
      </c>
      <c r="R3" s="3" t="s">
        <v>43</v>
      </c>
      <c r="S3" s="3" t="s">
        <v>43</v>
      </c>
      <c r="T3" s="7">
        <f>IF($G3="Москва",1.3*(IF(IF(I3="Да",1,0)=1,1.4*Лист2!AX$1,Лист2!AX$1)),(IF(IF(I3="Да",1,0)=1,1.4*Лист2!AX$1,Лист2!AX$1)))</f>
        <v>396.9</v>
      </c>
      <c r="U3" s="7">
        <f>IF($G3="Москва",1.3*(IF(IF(J3="Да",1,0)=1,1.4*Лист2!AY$1,Лист2!AY$1)),(IF(IF(J3="Да",1,0)=1,1.4*Лист2!AY$1,Лист2!AY$1)))</f>
        <v>250.00000000000003</v>
      </c>
      <c r="V3" s="7">
        <f>IF($G3="Москва",1.3*(IF(IF(K3="Да",1,0)=1,1.4*Лист2!AZ$1,Лист2!AZ$1)),(IF(IF(K3="Да",1,0)=1,1.4*Лист2!AZ$1,Лист2!AZ$1)))</f>
        <v>855.00000000000011</v>
      </c>
      <c r="W3" s="7">
        <f>IF($G3="Москва",1.3*(IF(IF(L3="Да",1,0)=1,1.4*Лист2!BA$1,Лист2!BA$1)),(IF(IF(L3="Да",1,0)=1,1.4*Лист2!BA$1,Лист2!BA$1)))</f>
        <v>300</v>
      </c>
      <c r="X3" s="7">
        <f>IF($G3="Москва",1.3*(IF(IF(M3="Да",1,0)=1,1.4*Лист2!BB$1,Лист2!BB$1)),(IF(IF(M3="Да",1,0)=1,1.4*Лист2!BB$1,Лист2!BB$1)))</f>
        <v>46.000000000000007</v>
      </c>
      <c r="Y3" s="7">
        <f>IF($G3="Москва",1.3*(IF(IF(N3="Да",1,0)=1,1.4*Лист2!BC$1,Лист2!BC$1)),(IF(IF(N3="Да",1,0)=1,1.4*Лист2!BC$1,Лист2!BC$1)))</f>
        <v>1218</v>
      </c>
      <c r="Z3" s="7">
        <f>IF($G3="Москва",1.3*(IF(IF(O3="Да",1,0)=1,1.4*Лист2!BD$1,Лист2!BD$1)),(IF(IF(O3="Да",1,0)=1,1.4*Лист2!BD$1,Лист2!BD$1)))</f>
        <v>315</v>
      </c>
      <c r="AA3" s="7">
        <f>IF($G3="Москва",1.3*(IF(IF(P3="Да",1,0)=1,1.4*Лист2!BE$1,Лист2!BE$1)),(IF(IF(P3="Да",1,0)=1,1.4*Лист2!BE$1,Лист2!BE$1)))</f>
        <v>1014.9999999999998</v>
      </c>
      <c r="AB3" s="7">
        <f>IF($G3="Москва",1.3*(IF(IF(Q3="Да",1,0)=1,1.4*Лист2!BF$1,Лист2!BF$1)),(IF(IF(Q3="Да",1,0)=1,1.4*Лист2!BF$1,Лист2!BF$1)))</f>
        <v>88.199999999999989</v>
      </c>
      <c r="AC3" s="7">
        <f>IF($G3="Москва",1.3*(IF(IF(R3="Да",1,0)=1,1.4*Лист2!BG$1,Лист2!BG$1)),(IF(IF(R3="Да",1,0)=1,1.4*Лист2!BG$1,Лист2!BG$1)))</f>
        <v>38.5</v>
      </c>
      <c r="AD3" s="7">
        <f>IF($G3="Москва",1.3*(IF(IF(S3="Да",1,0)=1,1.4*Лист2!BH$1,Лист2!BH$1)),(IF(IF(S3="Да",1,0)=1,1.4*Лист2!BH$1,Лист2!BH$1)))</f>
        <v>156.25</v>
      </c>
      <c r="AE3" s="9">
        <f>SUM(T3:AD3)</f>
        <v>4678.8499999999995</v>
      </c>
      <c r="AF3">
        <f>AE3*4.2</f>
        <v>19651.169999999998</v>
      </c>
      <c r="AG3">
        <f t="shared" ref="AG3:AG40" si="0">AF3*2</f>
        <v>39302.339999999997</v>
      </c>
      <c r="AH3">
        <f>IF(IF(G3="Москва",1,0)=1,Лист2!$BK$6,Лист2!$BL$6)</f>
        <v>13651</v>
      </c>
      <c r="AI3">
        <f>AH3-AF3</f>
        <v>-6000.1699999999983</v>
      </c>
      <c r="AJ3">
        <f>(H3-AE3)*4.2</f>
        <v>13948.830000000004</v>
      </c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</row>
    <row r="4" spans="1:72" ht="28.8" x14ac:dyDescent="0.3">
      <c r="A4" s="3" t="s">
        <v>50</v>
      </c>
      <c r="B4" s="3" t="s">
        <v>45</v>
      </c>
      <c r="C4" s="3">
        <v>20</v>
      </c>
      <c r="D4" s="3" t="s">
        <v>363</v>
      </c>
      <c r="E4" s="3" t="s">
        <v>43</v>
      </c>
      <c r="F4" s="3">
        <v>60000</v>
      </c>
      <c r="G4" s="3" t="s">
        <v>127</v>
      </c>
      <c r="H4" s="3" t="s">
        <v>47</v>
      </c>
      <c r="I4" s="3" t="s">
        <v>42</v>
      </c>
      <c r="J4" s="3" t="s">
        <v>43</v>
      </c>
      <c r="K4" s="3" t="s">
        <v>42</v>
      </c>
      <c r="L4" s="3" t="s">
        <v>43</v>
      </c>
      <c r="M4" s="3" t="s">
        <v>42</v>
      </c>
      <c r="N4" s="3" t="s">
        <v>42</v>
      </c>
      <c r="O4" s="3" t="s">
        <v>43</v>
      </c>
      <c r="P4" s="3" t="s">
        <v>42</v>
      </c>
      <c r="Q4" s="3" t="s">
        <v>42</v>
      </c>
      <c r="R4" s="3" t="s">
        <v>43</v>
      </c>
      <c r="S4" s="3" t="s">
        <v>42</v>
      </c>
      <c r="T4" s="7">
        <f>IF($G4="Москва",1.3*(IF(IF(I4="Да",1,0)=1,1.4*Лист2!AX$1,Лист2!AX$1)),(IF(IF(I4="Да",1,0)=1,1.4*Лист2!AX$1,Лист2!AX$1)))</f>
        <v>396.9</v>
      </c>
      <c r="U4" s="7">
        <f>IF($G4="Москва",1.3*(IF(IF(J4="Да",1,0)=1,1.4*Лист2!AY$1,Лист2!AY$1)),(IF(IF(J4="Да",1,0)=1,1.4*Лист2!AY$1,Лист2!AY$1)))</f>
        <v>250.00000000000003</v>
      </c>
      <c r="V4" s="7">
        <f>IF($G4="Москва",1.3*(IF(IF(K4="Да",1,0)=1,1.4*Лист2!AZ$1,Лист2!AZ$1)),(IF(IF(K4="Да",1,0)=1,1.4*Лист2!AZ$1,Лист2!AZ$1)))</f>
        <v>1197</v>
      </c>
      <c r="W4" s="7">
        <f>IF($G4="Москва",1.3*(IF(IF(L4="Да",1,0)=1,1.4*Лист2!BA$1,Лист2!BA$1)),(IF(IF(L4="Да",1,0)=1,1.4*Лист2!BA$1,Лист2!BA$1)))</f>
        <v>300</v>
      </c>
      <c r="X4" s="7">
        <f>IF($G4="Москва",1.3*(IF(IF(M4="Да",1,0)=1,1.4*Лист2!BB$1,Лист2!BB$1)),(IF(IF(M4="Да",1,0)=1,1.4*Лист2!BB$1,Лист2!BB$1)))</f>
        <v>64.400000000000006</v>
      </c>
      <c r="Y4" s="7">
        <f>IF($G4="Москва",1.3*(IF(IF(N4="Да",1,0)=1,1.4*Лист2!BC$1,Лист2!BC$1)),(IF(IF(N4="Да",1,0)=1,1.4*Лист2!BC$1,Лист2!BC$1)))</f>
        <v>1218</v>
      </c>
      <c r="Z4" s="7">
        <f>IF($G4="Москва",1.3*(IF(IF(O4="Да",1,0)=1,1.4*Лист2!BD$1,Лист2!BD$1)),(IF(IF(O4="Да",1,0)=1,1.4*Лист2!BD$1,Лист2!BD$1)))</f>
        <v>315</v>
      </c>
      <c r="AA4" s="7">
        <f>IF($G4="Москва",1.3*(IF(IF(P4="Да",1,0)=1,1.4*Лист2!BE$1,Лист2!BE$1)),(IF(IF(P4="Да",1,0)=1,1.4*Лист2!BE$1,Лист2!BE$1)))</f>
        <v>1014.9999999999998</v>
      </c>
      <c r="AB4" s="7">
        <f>IF($G4="Москва",1.3*(IF(IF(Q4="Да",1,0)=1,1.4*Лист2!BF$1,Лист2!BF$1)),(IF(IF(Q4="Да",1,0)=1,1.4*Лист2!BF$1,Лист2!BF$1)))</f>
        <v>88.199999999999989</v>
      </c>
      <c r="AC4" s="7">
        <f>IF($G4="Москва",1.3*(IF(IF(R4="Да",1,0)=1,1.4*Лист2!BG$1,Лист2!BG$1)),(IF(IF(R4="Да",1,0)=1,1.4*Лист2!BG$1,Лист2!BG$1)))</f>
        <v>38.5</v>
      </c>
      <c r="AD4" s="7">
        <f>IF($G4="Москва",1.3*(IF(IF(S4="Да",1,0)=1,1.4*Лист2!BH$1,Лист2!BH$1)),(IF(IF(S4="Да",1,0)=1,1.4*Лист2!BH$1,Лист2!BH$1)))</f>
        <v>218.75</v>
      </c>
      <c r="AE4" s="9">
        <f>SUM(T4:AD4)</f>
        <v>5101.75</v>
      </c>
      <c r="AF4">
        <f>AE4*4.2</f>
        <v>21427.350000000002</v>
      </c>
      <c r="AG4">
        <f t="shared" si="0"/>
        <v>42854.700000000004</v>
      </c>
      <c r="AH4">
        <f>IF(IF(G4="Москва",1,0)=1,Лист2!$BK$6,Лист2!$BL$6)</f>
        <v>13651</v>
      </c>
      <c r="AI4">
        <f>AH4-AF4</f>
        <v>-7776.3500000000022</v>
      </c>
      <c r="AJ4">
        <f>(H4-AE4)*4.2</f>
        <v>12172.65</v>
      </c>
    </row>
    <row r="5" spans="1:72" ht="57.6" x14ac:dyDescent="0.3">
      <c r="A5" s="3" t="s">
        <v>51</v>
      </c>
      <c r="B5" s="3" t="s">
        <v>45</v>
      </c>
      <c r="C5" s="3">
        <v>20</v>
      </c>
      <c r="D5" s="3" t="s">
        <v>363</v>
      </c>
      <c r="E5" s="3" t="s">
        <v>42</v>
      </c>
      <c r="F5" s="3">
        <v>60000</v>
      </c>
      <c r="G5" s="3" t="s">
        <v>52</v>
      </c>
      <c r="H5" s="3" t="s">
        <v>53</v>
      </c>
      <c r="I5" s="3" t="s">
        <v>42</v>
      </c>
      <c r="J5" s="3" t="s">
        <v>43</v>
      </c>
      <c r="K5" s="3" t="s">
        <v>42</v>
      </c>
      <c r="L5" s="3" t="s">
        <v>42</v>
      </c>
      <c r="M5" s="3" t="s">
        <v>43</v>
      </c>
      <c r="N5" s="3" t="s">
        <v>42</v>
      </c>
      <c r="O5" s="3" t="s">
        <v>42</v>
      </c>
      <c r="P5" s="3" t="s">
        <v>43</v>
      </c>
      <c r="Q5" s="3" t="s">
        <v>42</v>
      </c>
      <c r="R5" s="3" t="s">
        <v>43</v>
      </c>
      <c r="S5" s="3" t="s">
        <v>43</v>
      </c>
      <c r="T5" s="7">
        <f>IF($G5="Москва",1.3*(IF(IF(I5="Да",1,0)=1,1.4*Лист2!AX$1,Лист2!AX$1)),(IF(IF(I5="Да",1,0)=1,1.4*Лист2!AX$1,Лист2!AX$1)))</f>
        <v>305.30769230769226</v>
      </c>
      <c r="U5" s="7">
        <f>IF($G5="Москва",1.3*(IF(IF(J5="Да",1,0)=1,1.4*Лист2!AY$1,Лист2!AY$1)),(IF(IF(J5="Да",1,0)=1,1.4*Лист2!AY$1,Лист2!AY$1)))</f>
        <v>192.30769230769232</v>
      </c>
      <c r="V5" s="7">
        <f>IF($G5="Москва",1.3*(IF(IF(K5="Да",1,0)=1,1.4*Лист2!AZ$1,Лист2!AZ$1)),(IF(IF(K5="Да",1,0)=1,1.4*Лист2!AZ$1,Лист2!AZ$1)))</f>
        <v>920.76923076923072</v>
      </c>
      <c r="W5" s="7">
        <f>IF($G5="Москва",1.3*(IF(IF(L5="Да",1,0)=1,1.4*Лист2!BA$1,Лист2!BA$1)),(IF(IF(L5="Да",1,0)=1,1.4*Лист2!BA$1,Лист2!BA$1)))</f>
        <v>323.07692307692304</v>
      </c>
      <c r="X5" s="7">
        <f>IF($G5="Москва",1.3*(IF(IF(M5="Да",1,0)=1,1.4*Лист2!BB$1,Лист2!BB$1)),(IF(IF(M5="Да",1,0)=1,1.4*Лист2!BB$1,Лист2!BB$1)))</f>
        <v>35.384615384615387</v>
      </c>
      <c r="Y5" s="7">
        <f>IF($G5="Москва",1.3*(IF(IF(N5="Да",1,0)=1,1.4*Лист2!BC$1,Лист2!BC$1)),(IF(IF(N5="Да",1,0)=1,1.4*Лист2!BC$1,Лист2!BC$1)))</f>
        <v>936.92307692307691</v>
      </c>
      <c r="Z5" s="7">
        <f>IF($G5="Москва",1.3*(IF(IF(O5="Да",1,0)=1,1.4*Лист2!BD$1,Лист2!BD$1)),(IF(IF(O5="Да",1,0)=1,1.4*Лист2!BD$1,Лист2!BD$1)))</f>
        <v>339.23076923076917</v>
      </c>
      <c r="AA5" s="7">
        <f>IF($G5="Москва",1.3*(IF(IF(P5="Да",1,0)=1,1.4*Лист2!BE$1,Лист2!BE$1)),(IF(IF(P5="Да",1,0)=1,1.4*Лист2!BE$1,Лист2!BE$1)))</f>
        <v>557.69230769230762</v>
      </c>
      <c r="AB5" s="7">
        <f>IF($G5="Москва",1.3*(IF(IF(Q5="Да",1,0)=1,1.4*Лист2!BF$1,Лист2!BF$1)),(IF(IF(Q5="Да",1,0)=1,1.4*Лист2!BF$1,Лист2!BF$1)))</f>
        <v>67.84615384615384</v>
      </c>
      <c r="AC5" s="7">
        <f>IF($G5="Москва",1.3*(IF(IF(R5="Да",1,0)=1,1.4*Лист2!BG$1,Лист2!BG$1)),(IF(IF(R5="Да",1,0)=1,1.4*Лист2!BG$1,Лист2!BG$1)))</f>
        <v>29.615384615384617</v>
      </c>
      <c r="AD5" s="7">
        <f>IF($G5="Москва",1.3*(IF(IF(S5="Да",1,0)=1,1.4*Лист2!BH$1,Лист2!BH$1)),(IF(IF(S5="Да",1,0)=1,1.4*Лист2!BH$1,Лист2!BH$1)))</f>
        <v>120.19230769230769</v>
      </c>
      <c r="AE5" s="9">
        <f>SUM(T5:AD5)</f>
        <v>3828.3461538461534</v>
      </c>
      <c r="AF5">
        <f>AE5*4.2</f>
        <v>16079.053846153845</v>
      </c>
      <c r="AG5">
        <f t="shared" si="0"/>
        <v>32158.107692307691</v>
      </c>
      <c r="AH5">
        <f>IF(IF(G5="Москва",1,0)=1,Лист2!$BK$6,Лист2!$BL$6)</f>
        <v>9230</v>
      </c>
      <c r="AI5">
        <f>AH5-AF5</f>
        <v>-6849.0538461538454</v>
      </c>
      <c r="AJ5">
        <f>(H5-AE5)*4.2</f>
        <v>720.94615384615588</v>
      </c>
    </row>
    <row r="6" spans="1:72" ht="28.8" x14ac:dyDescent="0.3">
      <c r="A6" s="3" t="s">
        <v>54</v>
      </c>
      <c r="B6" s="3" t="s">
        <v>45</v>
      </c>
      <c r="C6" s="3">
        <v>20</v>
      </c>
      <c r="D6" s="3" t="s">
        <v>363</v>
      </c>
      <c r="E6" s="3" t="s">
        <v>42</v>
      </c>
      <c r="F6" s="3">
        <v>60000</v>
      </c>
      <c r="G6" s="3" t="s">
        <v>127</v>
      </c>
      <c r="H6" s="3" t="s">
        <v>55</v>
      </c>
      <c r="I6" s="3" t="s">
        <v>43</v>
      </c>
      <c r="J6" s="3" t="s">
        <v>42</v>
      </c>
      <c r="K6" s="3" t="s">
        <v>42</v>
      </c>
      <c r="L6" s="3" t="s">
        <v>42</v>
      </c>
      <c r="M6" s="3" t="s">
        <v>43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43</v>
      </c>
      <c r="S6" s="3" t="s">
        <v>43</v>
      </c>
      <c r="T6" s="7">
        <f>IF($G6="Москва",1.3*(IF(IF(I6="Да",1,0)=1,1.4*Лист2!AX$1,Лист2!AX$1)),(IF(IF(I6="Да",1,0)=1,1.4*Лист2!AX$1,Лист2!AX$1)))</f>
        <v>283.5</v>
      </c>
      <c r="U6" s="7">
        <f>IF($G6="Москва",1.3*(IF(IF(J6="Да",1,0)=1,1.4*Лист2!AY$1,Лист2!AY$1)),(IF(IF(J6="Да",1,0)=1,1.4*Лист2!AY$1,Лист2!AY$1)))</f>
        <v>350</v>
      </c>
      <c r="V6" s="7">
        <f>IF($G6="Москва",1.3*(IF(IF(K6="Да",1,0)=1,1.4*Лист2!AZ$1,Лист2!AZ$1)),(IF(IF(K6="Да",1,0)=1,1.4*Лист2!AZ$1,Лист2!AZ$1)))</f>
        <v>1197</v>
      </c>
      <c r="W6" s="7">
        <f>IF($G6="Москва",1.3*(IF(IF(L6="Да",1,0)=1,1.4*Лист2!BA$1,Лист2!BA$1)),(IF(IF(L6="Да",1,0)=1,1.4*Лист2!BA$1,Лист2!BA$1)))</f>
        <v>419.99999999999994</v>
      </c>
      <c r="X6" s="7">
        <f>IF($G6="Москва",1.3*(IF(IF(M6="Да",1,0)=1,1.4*Лист2!BB$1,Лист2!BB$1)),(IF(IF(M6="Да",1,0)=1,1.4*Лист2!BB$1,Лист2!BB$1)))</f>
        <v>46.000000000000007</v>
      </c>
      <c r="Y6" s="7">
        <f>IF($G6="Москва",1.3*(IF(IF(N6="Да",1,0)=1,1.4*Лист2!BC$1,Лист2!BC$1)),(IF(IF(N6="Да",1,0)=1,1.4*Лист2!BC$1,Лист2!BC$1)))</f>
        <v>1218</v>
      </c>
      <c r="Z6" s="7">
        <f>IF($G6="Москва",1.3*(IF(IF(O6="Да",1,0)=1,1.4*Лист2!BD$1,Лист2!BD$1)),(IF(IF(O6="Да",1,0)=1,1.4*Лист2!BD$1,Лист2!BD$1)))</f>
        <v>440.99999999999994</v>
      </c>
      <c r="AA6" s="7">
        <f>IF($G6="Москва",1.3*(IF(IF(P6="Да",1,0)=1,1.4*Лист2!BE$1,Лист2!BE$1)),(IF(IF(P6="Да",1,0)=1,1.4*Лист2!BE$1,Лист2!BE$1)))</f>
        <v>1014.9999999999998</v>
      </c>
      <c r="AB6" s="7">
        <f>IF($G6="Москва",1.3*(IF(IF(Q6="Да",1,0)=1,1.4*Лист2!BF$1,Лист2!BF$1)),(IF(IF(Q6="Да",1,0)=1,1.4*Лист2!BF$1,Лист2!BF$1)))</f>
        <v>88.199999999999989</v>
      </c>
      <c r="AC6" s="7">
        <f>IF($G6="Москва",1.3*(IF(IF(R6="Да",1,0)=1,1.4*Лист2!BG$1,Лист2!BG$1)),(IF(IF(R6="Да",1,0)=1,1.4*Лист2!BG$1,Лист2!BG$1)))</f>
        <v>38.5</v>
      </c>
      <c r="AD6" s="7">
        <f>IF($G6="Москва",1.3*(IF(IF(S6="Да",1,0)=1,1.4*Лист2!BH$1,Лист2!BH$1)),(IF(IF(S6="Да",1,0)=1,1.4*Лист2!BH$1,Лист2!BH$1)))</f>
        <v>156.25</v>
      </c>
      <c r="AE6" s="9">
        <f>SUM(T6:AD6)</f>
        <v>5253.45</v>
      </c>
      <c r="AF6">
        <f>AE6*4.2</f>
        <v>22064.49</v>
      </c>
      <c r="AG6">
        <f t="shared" si="0"/>
        <v>44128.98</v>
      </c>
      <c r="AH6">
        <f>IF(IF(G6="Москва",1,0)=1,Лист2!$BK$6,Лист2!$BL$6)</f>
        <v>13651</v>
      </c>
      <c r="AI6">
        <f>AH6-AF6</f>
        <v>-8413.4900000000016</v>
      </c>
      <c r="AJ6">
        <f>(H6-AE6)*4.2</f>
        <v>-1064.4899999999993</v>
      </c>
    </row>
    <row r="7" spans="1:72" ht="72" x14ac:dyDescent="0.3">
      <c r="A7" s="3" t="s">
        <v>56</v>
      </c>
      <c r="B7" s="3" t="s">
        <v>45</v>
      </c>
      <c r="C7" s="3">
        <v>20</v>
      </c>
      <c r="D7" s="3" t="s">
        <v>364</v>
      </c>
      <c r="E7" s="3" t="s">
        <v>42</v>
      </c>
      <c r="F7" s="3">
        <v>21000</v>
      </c>
      <c r="G7" s="3" t="s">
        <v>58</v>
      </c>
      <c r="H7" s="3" t="s">
        <v>55</v>
      </c>
      <c r="I7" s="3" t="s">
        <v>43</v>
      </c>
      <c r="J7" s="3" t="s">
        <v>43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43</v>
      </c>
      <c r="S7" s="3" t="s">
        <v>42</v>
      </c>
      <c r="T7" s="7">
        <f>IF($G7="Москва",1.3*(IF(IF(I7="Да",1,0)=1,1.4*Лист2!AX$1,Лист2!AX$1)),(IF(IF(I7="Да",1,0)=1,1.4*Лист2!AX$1,Лист2!AX$1)))</f>
        <v>218.07692307692307</v>
      </c>
      <c r="U7" s="7">
        <f>IF($G7="Москва",1.3*(IF(IF(J7="Да",1,0)=1,1.4*Лист2!AY$1,Лист2!AY$1)),(IF(IF(J7="Да",1,0)=1,1.4*Лист2!AY$1,Лист2!AY$1)))</f>
        <v>192.30769230769232</v>
      </c>
      <c r="V7" s="7">
        <f>IF($G7="Москва",1.3*(IF(IF(K7="Да",1,0)=1,1.4*Лист2!AZ$1,Лист2!AZ$1)),(IF(IF(K7="Да",1,0)=1,1.4*Лист2!AZ$1,Лист2!AZ$1)))</f>
        <v>920.76923076923072</v>
      </c>
      <c r="W7" s="7">
        <f>IF($G7="Москва",1.3*(IF(IF(L7="Да",1,0)=1,1.4*Лист2!BA$1,Лист2!BA$1)),(IF(IF(L7="Да",1,0)=1,1.4*Лист2!BA$1,Лист2!BA$1)))</f>
        <v>323.07692307692304</v>
      </c>
      <c r="X7" s="7">
        <f>IF($G7="Москва",1.3*(IF(IF(M7="Да",1,0)=1,1.4*Лист2!BB$1,Лист2!BB$1)),(IF(IF(M7="Да",1,0)=1,1.4*Лист2!BB$1,Лист2!BB$1)))</f>
        <v>49.53846153846154</v>
      </c>
      <c r="Y7" s="7">
        <f>IF($G7="Москва",1.3*(IF(IF(N7="Да",1,0)=1,1.4*Лист2!BC$1,Лист2!BC$1)),(IF(IF(N7="Да",1,0)=1,1.4*Лист2!BC$1,Лист2!BC$1)))</f>
        <v>936.92307692307691</v>
      </c>
      <c r="Z7" s="7">
        <f>IF($G7="Москва",1.3*(IF(IF(O7="Да",1,0)=1,1.4*Лист2!BD$1,Лист2!BD$1)),(IF(IF(O7="Да",1,0)=1,1.4*Лист2!BD$1,Лист2!BD$1)))</f>
        <v>339.23076923076917</v>
      </c>
      <c r="AA7" s="7">
        <f>IF($G7="Москва",1.3*(IF(IF(P7="Да",1,0)=1,1.4*Лист2!BE$1,Лист2!BE$1)),(IF(IF(P7="Да",1,0)=1,1.4*Лист2!BE$1,Лист2!BE$1)))</f>
        <v>780.7692307692306</v>
      </c>
      <c r="AB7" s="7">
        <f>IF($G7="Москва",1.3*(IF(IF(Q7="Да",1,0)=1,1.4*Лист2!BF$1,Лист2!BF$1)),(IF(IF(Q7="Да",1,0)=1,1.4*Лист2!BF$1,Лист2!BF$1)))</f>
        <v>67.84615384615384</v>
      </c>
      <c r="AC7" s="7">
        <f>IF($G7="Москва",1.3*(IF(IF(R7="Да",1,0)=1,1.4*Лист2!BG$1,Лист2!BG$1)),(IF(IF(R7="Да",1,0)=1,1.4*Лист2!BG$1,Лист2!BG$1)))</f>
        <v>29.615384615384617</v>
      </c>
      <c r="AD7" s="7">
        <f>IF($G7="Москва",1.3*(IF(IF(S7="Да",1,0)=1,1.4*Лист2!BH$1,Лист2!BH$1)),(IF(IF(S7="Да",1,0)=1,1.4*Лист2!BH$1,Лист2!BH$1)))</f>
        <v>168.26923076923077</v>
      </c>
      <c r="AE7" s="9">
        <f>SUM(T7:AD7)</f>
        <v>4026.4230769230767</v>
      </c>
      <c r="AF7">
        <f>AE7*4.2</f>
        <v>16910.976923076923</v>
      </c>
      <c r="AG7">
        <f t="shared" si="0"/>
        <v>33821.953846153847</v>
      </c>
      <c r="AH7">
        <f>IF(IF(G7="Москва",1,0)=1,Лист2!$BK$6,Лист2!$BL$6)</f>
        <v>9230</v>
      </c>
      <c r="AI7">
        <f>AH7-AF7</f>
        <v>-7680.9769230769234</v>
      </c>
      <c r="AJ7">
        <f>(H7-AE7)*4.2</f>
        <v>4089.023076923078</v>
      </c>
    </row>
    <row r="8" spans="1:72" ht="28.8" x14ac:dyDescent="0.3">
      <c r="A8" s="3" t="s">
        <v>60</v>
      </c>
      <c r="B8" s="3" t="s">
        <v>31</v>
      </c>
      <c r="C8" s="3">
        <v>20</v>
      </c>
      <c r="D8" s="3" t="s">
        <v>363</v>
      </c>
      <c r="E8" s="3" t="s">
        <v>43</v>
      </c>
      <c r="F8" s="3">
        <v>12000</v>
      </c>
      <c r="G8" s="3" t="s">
        <v>127</v>
      </c>
      <c r="H8" s="3" t="s">
        <v>61</v>
      </c>
      <c r="I8" s="3" t="s">
        <v>43</v>
      </c>
      <c r="J8" s="3" t="s">
        <v>43</v>
      </c>
      <c r="K8" s="3" t="s">
        <v>42</v>
      </c>
      <c r="L8" s="3" t="s">
        <v>42</v>
      </c>
      <c r="M8" s="3" t="s">
        <v>43</v>
      </c>
      <c r="N8" s="3" t="s">
        <v>42</v>
      </c>
      <c r="O8" s="3" t="s">
        <v>43</v>
      </c>
      <c r="P8" s="3" t="s">
        <v>43</v>
      </c>
      <c r="Q8" s="3" t="s">
        <v>42</v>
      </c>
      <c r="R8" s="3" t="s">
        <v>43</v>
      </c>
      <c r="S8" s="3" t="s">
        <v>42</v>
      </c>
      <c r="T8" s="7">
        <f>IF($G8="Москва",1.3*(IF(IF(I8="Да",1,0)=1,1.4*Лист2!AX$1,Лист2!AX$1)),(IF(IF(I8="Да",1,0)=1,1.4*Лист2!AX$1,Лист2!AX$1)))</f>
        <v>283.5</v>
      </c>
      <c r="U8" s="7">
        <f>IF($G8="Москва",1.3*(IF(IF(J8="Да",1,0)=1,1.4*Лист2!AY$1,Лист2!AY$1)),(IF(IF(J8="Да",1,0)=1,1.4*Лист2!AY$1,Лист2!AY$1)))</f>
        <v>250.00000000000003</v>
      </c>
      <c r="V8" s="7">
        <f>IF($G8="Москва",1.3*(IF(IF(K8="Да",1,0)=1,1.4*Лист2!AZ$1,Лист2!AZ$1)),(IF(IF(K8="Да",1,0)=1,1.4*Лист2!AZ$1,Лист2!AZ$1)))</f>
        <v>1197</v>
      </c>
      <c r="W8" s="7">
        <f>IF($G8="Москва",1.3*(IF(IF(L8="Да",1,0)=1,1.4*Лист2!BA$1,Лист2!BA$1)),(IF(IF(L8="Да",1,0)=1,1.4*Лист2!BA$1,Лист2!BA$1)))</f>
        <v>419.99999999999994</v>
      </c>
      <c r="X8" s="7">
        <f>IF($G8="Москва",1.3*(IF(IF(M8="Да",1,0)=1,1.4*Лист2!BB$1,Лист2!BB$1)),(IF(IF(M8="Да",1,0)=1,1.4*Лист2!BB$1,Лист2!BB$1)))</f>
        <v>46.000000000000007</v>
      </c>
      <c r="Y8" s="7">
        <f>IF($G8="Москва",1.3*(IF(IF(N8="Да",1,0)=1,1.4*Лист2!BC$1,Лист2!BC$1)),(IF(IF(N8="Да",1,0)=1,1.4*Лист2!BC$1,Лист2!BC$1)))</f>
        <v>1218</v>
      </c>
      <c r="Z8" s="7">
        <f>IF($G8="Москва",1.3*(IF(IF(O8="Да",1,0)=1,1.4*Лист2!BD$1,Лист2!BD$1)),(IF(IF(O8="Да",1,0)=1,1.4*Лист2!BD$1,Лист2!BD$1)))</f>
        <v>315</v>
      </c>
      <c r="AA8" s="7">
        <f>IF($G8="Москва",1.3*(IF(IF(P8="Да",1,0)=1,1.4*Лист2!BE$1,Лист2!BE$1)),(IF(IF(P8="Да",1,0)=1,1.4*Лист2!BE$1,Лист2!BE$1)))</f>
        <v>724.99999999999989</v>
      </c>
      <c r="AB8" s="7">
        <f>IF($G8="Москва",1.3*(IF(IF(Q8="Да",1,0)=1,1.4*Лист2!BF$1,Лист2!BF$1)),(IF(IF(Q8="Да",1,0)=1,1.4*Лист2!BF$1,Лист2!BF$1)))</f>
        <v>88.199999999999989</v>
      </c>
      <c r="AC8" s="7">
        <f>IF($G8="Москва",1.3*(IF(IF(R8="Да",1,0)=1,1.4*Лист2!BG$1,Лист2!BG$1)),(IF(IF(R8="Да",1,0)=1,1.4*Лист2!BG$1,Лист2!BG$1)))</f>
        <v>38.5</v>
      </c>
      <c r="AD8" s="7">
        <f>IF($G8="Москва",1.3*(IF(IF(S8="Да",1,0)=1,1.4*Лист2!BH$1,Лист2!BH$1)),(IF(IF(S8="Да",1,0)=1,1.4*Лист2!BH$1,Лист2!BH$1)))</f>
        <v>218.75</v>
      </c>
      <c r="AE8" s="9">
        <f>SUM(T8:AD8)</f>
        <v>4799.95</v>
      </c>
      <c r="AF8">
        <f>AE8*4.2</f>
        <v>20159.79</v>
      </c>
      <c r="AG8">
        <f t="shared" si="0"/>
        <v>40319.58</v>
      </c>
      <c r="AH8">
        <f>IF(IF(G8="Москва",1,0)=1,Лист2!$BK$6,Лист2!$BL$6)</f>
        <v>13651</v>
      </c>
      <c r="AI8">
        <f>AH8-AF8</f>
        <v>-6508.7900000000009</v>
      </c>
      <c r="AJ8">
        <f>(H8-AE8)*4.2</f>
        <v>-7559.79</v>
      </c>
    </row>
    <row r="9" spans="1:72" ht="57.6" x14ac:dyDescent="0.3">
      <c r="A9" s="3" t="s">
        <v>62</v>
      </c>
      <c r="B9" s="3" t="s">
        <v>45</v>
      </c>
      <c r="C9" s="3">
        <v>20</v>
      </c>
      <c r="D9" s="3" t="s">
        <v>363</v>
      </c>
      <c r="E9" s="3" t="s">
        <v>42</v>
      </c>
      <c r="F9" s="3">
        <v>60000</v>
      </c>
      <c r="G9" s="3" t="s">
        <v>63</v>
      </c>
      <c r="H9" s="3" t="s">
        <v>53</v>
      </c>
      <c r="I9" s="3" t="s">
        <v>42</v>
      </c>
      <c r="J9" s="3" t="s">
        <v>43</v>
      </c>
      <c r="K9" s="3" t="s">
        <v>42</v>
      </c>
      <c r="L9" s="3" t="s">
        <v>42</v>
      </c>
      <c r="M9" s="3" t="s">
        <v>43</v>
      </c>
      <c r="N9" s="3" t="s">
        <v>42</v>
      </c>
      <c r="O9" s="3" t="s">
        <v>43</v>
      </c>
      <c r="P9" s="3" t="s">
        <v>43</v>
      </c>
      <c r="Q9" s="3" t="s">
        <v>42</v>
      </c>
      <c r="R9" s="3" t="s">
        <v>43</v>
      </c>
      <c r="S9" s="3" t="s">
        <v>42</v>
      </c>
      <c r="T9" s="7">
        <f>IF($G9="Москва",1.3*(IF(IF(I9="Да",1,0)=1,1.4*Лист2!AX$1,Лист2!AX$1)),(IF(IF(I9="Да",1,0)=1,1.4*Лист2!AX$1,Лист2!AX$1)))</f>
        <v>305.30769230769226</v>
      </c>
      <c r="U9" s="7">
        <f>IF($G9="Москва",1.3*(IF(IF(J9="Да",1,0)=1,1.4*Лист2!AY$1,Лист2!AY$1)),(IF(IF(J9="Да",1,0)=1,1.4*Лист2!AY$1,Лист2!AY$1)))</f>
        <v>192.30769230769232</v>
      </c>
      <c r="V9" s="7">
        <f>IF($G9="Москва",1.3*(IF(IF(K9="Да",1,0)=1,1.4*Лист2!AZ$1,Лист2!AZ$1)),(IF(IF(K9="Да",1,0)=1,1.4*Лист2!AZ$1,Лист2!AZ$1)))</f>
        <v>920.76923076923072</v>
      </c>
      <c r="W9" s="7">
        <f>IF($G9="Москва",1.3*(IF(IF(L9="Да",1,0)=1,1.4*Лист2!BA$1,Лист2!BA$1)),(IF(IF(L9="Да",1,0)=1,1.4*Лист2!BA$1,Лист2!BA$1)))</f>
        <v>323.07692307692304</v>
      </c>
      <c r="X9" s="7">
        <f>IF($G9="Москва",1.3*(IF(IF(M9="Да",1,0)=1,1.4*Лист2!BB$1,Лист2!BB$1)),(IF(IF(M9="Да",1,0)=1,1.4*Лист2!BB$1,Лист2!BB$1)))</f>
        <v>35.384615384615387</v>
      </c>
      <c r="Y9" s="7">
        <f>IF($G9="Москва",1.3*(IF(IF(N9="Да",1,0)=1,1.4*Лист2!BC$1,Лист2!BC$1)),(IF(IF(N9="Да",1,0)=1,1.4*Лист2!BC$1,Лист2!BC$1)))</f>
        <v>936.92307692307691</v>
      </c>
      <c r="Z9" s="7">
        <f>IF($G9="Москва",1.3*(IF(IF(O9="Да",1,0)=1,1.4*Лист2!BD$1,Лист2!BD$1)),(IF(IF(O9="Да",1,0)=1,1.4*Лист2!BD$1,Лист2!BD$1)))</f>
        <v>242.30769230769229</v>
      </c>
      <c r="AA9" s="7">
        <f>IF($G9="Москва",1.3*(IF(IF(P9="Да",1,0)=1,1.4*Лист2!BE$1,Лист2!BE$1)),(IF(IF(P9="Да",1,0)=1,1.4*Лист2!BE$1,Лист2!BE$1)))</f>
        <v>557.69230769230762</v>
      </c>
      <c r="AB9" s="7">
        <f>IF($G9="Москва",1.3*(IF(IF(Q9="Да",1,0)=1,1.4*Лист2!BF$1,Лист2!BF$1)),(IF(IF(Q9="Да",1,0)=1,1.4*Лист2!BF$1,Лист2!BF$1)))</f>
        <v>67.84615384615384</v>
      </c>
      <c r="AC9" s="7">
        <f>IF($G9="Москва",1.3*(IF(IF(R9="Да",1,0)=1,1.4*Лист2!BG$1,Лист2!BG$1)),(IF(IF(R9="Да",1,0)=1,1.4*Лист2!BG$1,Лист2!BG$1)))</f>
        <v>29.615384615384617</v>
      </c>
      <c r="AD9" s="7">
        <f>IF($G9="Москва",1.3*(IF(IF(S9="Да",1,0)=1,1.4*Лист2!BH$1,Лист2!BH$1)),(IF(IF(S9="Да",1,0)=1,1.4*Лист2!BH$1,Лист2!BH$1)))</f>
        <v>168.26923076923077</v>
      </c>
      <c r="AE9" s="9">
        <f>SUM(T9:AD9)</f>
        <v>3779.5</v>
      </c>
      <c r="AF9">
        <f>AE9*4.2</f>
        <v>15873.900000000001</v>
      </c>
      <c r="AG9">
        <f t="shared" si="0"/>
        <v>31747.800000000003</v>
      </c>
      <c r="AH9">
        <f>IF(IF(G9="Москва",1,0)=1,Лист2!$BK$6,Лист2!$BL$6)</f>
        <v>9230</v>
      </c>
      <c r="AI9">
        <f>AH9-AF9</f>
        <v>-6643.9000000000015</v>
      </c>
      <c r="AJ9">
        <f>(H9-AE9)*4.2</f>
        <v>926.1</v>
      </c>
    </row>
    <row r="10" spans="1:72" ht="28.8" x14ac:dyDescent="0.3">
      <c r="A10" s="3" t="s">
        <v>64</v>
      </c>
      <c r="B10" s="3" t="s">
        <v>45</v>
      </c>
      <c r="C10" s="3">
        <v>20</v>
      </c>
      <c r="D10" s="3" t="s">
        <v>364</v>
      </c>
      <c r="E10" s="3" t="s">
        <v>42</v>
      </c>
      <c r="F10" s="3">
        <v>60000</v>
      </c>
      <c r="G10" s="3" t="s">
        <v>127</v>
      </c>
      <c r="H10" s="3" t="s">
        <v>65</v>
      </c>
      <c r="I10" s="3" t="s">
        <v>42</v>
      </c>
      <c r="J10" s="3" t="s">
        <v>43</v>
      </c>
      <c r="K10" s="3" t="s">
        <v>43</v>
      </c>
      <c r="L10" s="3" t="s">
        <v>43</v>
      </c>
      <c r="M10" s="3" t="s">
        <v>42</v>
      </c>
      <c r="N10" s="3" t="s">
        <v>42</v>
      </c>
      <c r="O10" s="3" t="s">
        <v>43</v>
      </c>
      <c r="P10" s="3" t="s">
        <v>43</v>
      </c>
      <c r="Q10" s="3" t="s">
        <v>42</v>
      </c>
      <c r="R10" s="3" t="s">
        <v>43</v>
      </c>
      <c r="S10" s="3" t="s">
        <v>42</v>
      </c>
      <c r="T10" s="7">
        <f>IF($G10="Москва",1.3*(IF(IF(I10="Да",1,0)=1,1.4*Лист2!AX$1,Лист2!AX$1)),(IF(IF(I10="Да",1,0)=1,1.4*Лист2!AX$1,Лист2!AX$1)))</f>
        <v>396.9</v>
      </c>
      <c r="U10" s="7">
        <f>IF($G10="Москва",1.3*(IF(IF(J10="Да",1,0)=1,1.4*Лист2!AY$1,Лист2!AY$1)),(IF(IF(J10="Да",1,0)=1,1.4*Лист2!AY$1,Лист2!AY$1)))</f>
        <v>250.00000000000003</v>
      </c>
      <c r="V10" s="7">
        <f>IF($G10="Москва",1.3*(IF(IF(K10="Да",1,0)=1,1.4*Лист2!AZ$1,Лист2!AZ$1)),(IF(IF(K10="Да",1,0)=1,1.4*Лист2!AZ$1,Лист2!AZ$1)))</f>
        <v>855.00000000000011</v>
      </c>
      <c r="W10" s="7">
        <f>IF($G10="Москва",1.3*(IF(IF(L10="Да",1,0)=1,1.4*Лист2!BA$1,Лист2!BA$1)),(IF(IF(L10="Да",1,0)=1,1.4*Лист2!BA$1,Лист2!BA$1)))</f>
        <v>300</v>
      </c>
      <c r="X10" s="7">
        <f>IF($G10="Москва",1.3*(IF(IF(M10="Да",1,0)=1,1.4*Лист2!BB$1,Лист2!BB$1)),(IF(IF(M10="Да",1,0)=1,1.4*Лист2!BB$1,Лист2!BB$1)))</f>
        <v>64.400000000000006</v>
      </c>
      <c r="Y10" s="7">
        <f>IF($G10="Москва",1.3*(IF(IF(N10="Да",1,0)=1,1.4*Лист2!BC$1,Лист2!BC$1)),(IF(IF(N10="Да",1,0)=1,1.4*Лист2!BC$1,Лист2!BC$1)))</f>
        <v>1218</v>
      </c>
      <c r="Z10" s="7">
        <f>IF($G10="Москва",1.3*(IF(IF(O10="Да",1,0)=1,1.4*Лист2!BD$1,Лист2!BD$1)),(IF(IF(O10="Да",1,0)=1,1.4*Лист2!BD$1,Лист2!BD$1)))</f>
        <v>315</v>
      </c>
      <c r="AA10" s="7">
        <f>IF($G10="Москва",1.3*(IF(IF(P10="Да",1,0)=1,1.4*Лист2!BE$1,Лист2!BE$1)),(IF(IF(P10="Да",1,0)=1,1.4*Лист2!BE$1,Лист2!BE$1)))</f>
        <v>724.99999999999989</v>
      </c>
      <c r="AB10" s="7">
        <f>IF($G10="Москва",1.3*(IF(IF(Q10="Да",1,0)=1,1.4*Лист2!BF$1,Лист2!BF$1)),(IF(IF(Q10="Да",1,0)=1,1.4*Лист2!BF$1,Лист2!BF$1)))</f>
        <v>88.199999999999989</v>
      </c>
      <c r="AC10" s="7">
        <f>IF($G10="Москва",1.3*(IF(IF(R10="Да",1,0)=1,1.4*Лист2!BG$1,Лист2!BG$1)),(IF(IF(R10="Да",1,0)=1,1.4*Лист2!BG$1,Лист2!BG$1)))</f>
        <v>38.5</v>
      </c>
      <c r="AD10" s="7">
        <f>IF($G10="Москва",1.3*(IF(IF(S10="Да",1,0)=1,1.4*Лист2!BH$1,Лист2!BH$1)),(IF(IF(S10="Да",1,0)=1,1.4*Лист2!BH$1,Лист2!BH$1)))</f>
        <v>218.75</v>
      </c>
      <c r="AE10" s="9">
        <f>SUM(T10:AD10)</f>
        <v>4469.75</v>
      </c>
      <c r="AF10">
        <f>AE10*4.2</f>
        <v>18772.95</v>
      </c>
      <c r="AG10">
        <f t="shared" si="0"/>
        <v>37545.9</v>
      </c>
      <c r="AH10">
        <f>IF(IF(G10="Москва",1,0)=1,Лист2!$BK$6,Лист2!$BL$6)</f>
        <v>13651</v>
      </c>
      <c r="AI10">
        <f>AH10-AF10</f>
        <v>-5121.9500000000007</v>
      </c>
      <c r="AJ10">
        <f>(H10-AE10)*4.2</f>
        <v>19027.05</v>
      </c>
    </row>
    <row r="11" spans="1:72" ht="72" x14ac:dyDescent="0.3">
      <c r="A11" s="3" t="s">
        <v>66</v>
      </c>
      <c r="B11" s="3" t="s">
        <v>31</v>
      </c>
      <c r="C11" s="3">
        <v>20</v>
      </c>
      <c r="D11" s="3" t="s">
        <v>365</v>
      </c>
      <c r="E11" s="3" t="s">
        <v>43</v>
      </c>
      <c r="F11" s="3">
        <v>12000</v>
      </c>
      <c r="G11" s="3" t="s">
        <v>68</v>
      </c>
      <c r="H11" s="3" t="s">
        <v>69</v>
      </c>
      <c r="I11" s="3" t="s">
        <v>43</v>
      </c>
      <c r="J11" s="3" t="s">
        <v>43</v>
      </c>
      <c r="K11" s="3" t="s">
        <v>43</v>
      </c>
      <c r="L11" s="3" t="s">
        <v>43</v>
      </c>
      <c r="M11" s="3" t="s">
        <v>42</v>
      </c>
      <c r="N11" s="3" t="s">
        <v>42</v>
      </c>
      <c r="O11" s="3" t="s">
        <v>43</v>
      </c>
      <c r="P11" s="3" t="s">
        <v>43</v>
      </c>
      <c r="Q11" s="3" t="s">
        <v>43</v>
      </c>
      <c r="R11" s="3" t="s">
        <v>42</v>
      </c>
      <c r="S11" s="3" t="s">
        <v>43</v>
      </c>
      <c r="T11" s="7">
        <f>IF($G11="Москва",1.3*(IF(IF(I11="Да",1,0)=1,1.4*Лист2!AX$1,Лист2!AX$1)),(IF(IF(I11="Да",1,0)=1,1.4*Лист2!AX$1,Лист2!AX$1)))</f>
        <v>218.07692307692307</v>
      </c>
      <c r="U11" s="7">
        <f>IF($G11="Москва",1.3*(IF(IF(J11="Да",1,0)=1,1.4*Лист2!AY$1,Лист2!AY$1)),(IF(IF(J11="Да",1,0)=1,1.4*Лист2!AY$1,Лист2!AY$1)))</f>
        <v>192.30769230769232</v>
      </c>
      <c r="V11" s="7">
        <f>IF($G11="Москва",1.3*(IF(IF(K11="Да",1,0)=1,1.4*Лист2!AZ$1,Лист2!AZ$1)),(IF(IF(K11="Да",1,0)=1,1.4*Лист2!AZ$1,Лист2!AZ$1)))</f>
        <v>657.69230769230774</v>
      </c>
      <c r="W11" s="7">
        <f>IF($G11="Москва",1.3*(IF(IF(L11="Да",1,0)=1,1.4*Лист2!BA$1,Лист2!BA$1)),(IF(IF(L11="Да",1,0)=1,1.4*Лист2!BA$1,Лист2!BA$1)))</f>
        <v>230.76923076923075</v>
      </c>
      <c r="X11" s="7">
        <f>IF($G11="Москва",1.3*(IF(IF(M11="Да",1,0)=1,1.4*Лист2!BB$1,Лист2!BB$1)),(IF(IF(M11="Да",1,0)=1,1.4*Лист2!BB$1,Лист2!BB$1)))</f>
        <v>49.53846153846154</v>
      </c>
      <c r="Y11" s="7">
        <f>IF($G11="Москва",1.3*(IF(IF(N11="Да",1,0)=1,1.4*Лист2!BC$1,Лист2!BC$1)),(IF(IF(N11="Да",1,0)=1,1.4*Лист2!BC$1,Лист2!BC$1)))</f>
        <v>936.92307692307691</v>
      </c>
      <c r="Z11" s="7">
        <f>IF($G11="Москва",1.3*(IF(IF(O11="Да",1,0)=1,1.4*Лист2!BD$1,Лист2!BD$1)),(IF(IF(O11="Да",1,0)=1,1.4*Лист2!BD$1,Лист2!BD$1)))</f>
        <v>242.30769230769229</v>
      </c>
      <c r="AA11" s="7">
        <f>IF($G11="Москва",1.3*(IF(IF(P11="Да",1,0)=1,1.4*Лист2!BE$1,Лист2!BE$1)),(IF(IF(P11="Да",1,0)=1,1.4*Лист2!BE$1,Лист2!BE$1)))</f>
        <v>557.69230769230762</v>
      </c>
      <c r="AB11" s="7">
        <f>IF($G11="Москва",1.3*(IF(IF(Q11="Да",1,0)=1,1.4*Лист2!BF$1,Лист2!BF$1)),(IF(IF(Q11="Да",1,0)=1,1.4*Лист2!BF$1,Лист2!BF$1)))</f>
        <v>48.46153846153846</v>
      </c>
      <c r="AC11" s="7">
        <f>IF($G11="Москва",1.3*(IF(IF(R11="Да",1,0)=1,1.4*Лист2!BG$1,Лист2!BG$1)),(IF(IF(R11="Да",1,0)=1,1.4*Лист2!BG$1,Лист2!BG$1)))</f>
        <v>41.46153846153846</v>
      </c>
      <c r="AD11" s="7">
        <f>IF($G11="Москва",1.3*(IF(IF(S11="Да",1,0)=1,1.4*Лист2!BH$1,Лист2!BH$1)),(IF(IF(S11="Да",1,0)=1,1.4*Лист2!BH$1,Лист2!BH$1)))</f>
        <v>120.19230769230769</v>
      </c>
      <c r="AE11" s="9">
        <f>SUM(T11:AD11)</f>
        <v>3295.4230769230771</v>
      </c>
      <c r="AF11">
        <f>AE11*4.2</f>
        <v>13840.776923076925</v>
      </c>
      <c r="AG11">
        <f t="shared" si="0"/>
        <v>27681.553846153849</v>
      </c>
      <c r="AH11">
        <f>IF(IF(G11="Москва",1,0)=1,Лист2!$BK$6,Лист2!$BL$6)</f>
        <v>9230</v>
      </c>
      <c r="AI11">
        <f>AH11-AF11</f>
        <v>-4610.7769230769245</v>
      </c>
      <c r="AJ11">
        <f>(H11-AE11)*4.2</f>
        <v>70159.223076923081</v>
      </c>
    </row>
    <row r="12" spans="1:72" ht="72" x14ac:dyDescent="0.3">
      <c r="A12" s="3" t="s">
        <v>70</v>
      </c>
      <c r="B12" s="3" t="s">
        <v>31</v>
      </c>
      <c r="C12" s="3">
        <v>20</v>
      </c>
      <c r="D12" s="3" t="s">
        <v>363</v>
      </c>
      <c r="E12" s="3" t="s">
        <v>42</v>
      </c>
      <c r="F12" s="3">
        <v>21000</v>
      </c>
      <c r="G12" s="3" t="s">
        <v>71</v>
      </c>
      <c r="H12" s="3" t="s">
        <v>55</v>
      </c>
      <c r="I12" s="3" t="s">
        <v>43</v>
      </c>
      <c r="J12" s="3" t="s">
        <v>42</v>
      </c>
      <c r="K12" s="3" t="s">
        <v>43</v>
      </c>
      <c r="L12" s="3" t="s">
        <v>43</v>
      </c>
      <c r="M12" s="3" t="s">
        <v>42</v>
      </c>
      <c r="N12" s="3" t="s">
        <v>42</v>
      </c>
      <c r="O12" s="3" t="s">
        <v>42</v>
      </c>
      <c r="P12" s="3" t="s">
        <v>43</v>
      </c>
      <c r="Q12" s="3" t="s">
        <v>42</v>
      </c>
      <c r="R12" s="3" t="s">
        <v>42</v>
      </c>
      <c r="S12" s="3" t="s">
        <v>42</v>
      </c>
      <c r="T12" s="7">
        <f>IF($G12="Москва",1.3*(IF(IF(I12="Да",1,0)=1,1.4*Лист2!AX$1,Лист2!AX$1)),(IF(IF(I12="Да",1,0)=1,1.4*Лист2!AX$1,Лист2!AX$1)))</f>
        <v>218.07692307692307</v>
      </c>
      <c r="U12" s="7">
        <f>IF($G12="Москва",1.3*(IF(IF(J12="Да",1,0)=1,1.4*Лист2!AY$1,Лист2!AY$1)),(IF(IF(J12="Да",1,0)=1,1.4*Лист2!AY$1,Лист2!AY$1)))</f>
        <v>269.23076923076923</v>
      </c>
      <c r="V12" s="7">
        <f>IF($G12="Москва",1.3*(IF(IF(K12="Да",1,0)=1,1.4*Лист2!AZ$1,Лист2!AZ$1)),(IF(IF(K12="Да",1,0)=1,1.4*Лист2!AZ$1,Лист2!AZ$1)))</f>
        <v>657.69230769230774</v>
      </c>
      <c r="W12" s="7">
        <f>IF($G12="Москва",1.3*(IF(IF(L12="Да",1,0)=1,1.4*Лист2!BA$1,Лист2!BA$1)),(IF(IF(L12="Да",1,0)=1,1.4*Лист2!BA$1,Лист2!BA$1)))</f>
        <v>230.76923076923075</v>
      </c>
      <c r="X12" s="7">
        <f>IF($G12="Москва",1.3*(IF(IF(M12="Да",1,0)=1,1.4*Лист2!BB$1,Лист2!BB$1)),(IF(IF(M12="Да",1,0)=1,1.4*Лист2!BB$1,Лист2!BB$1)))</f>
        <v>49.53846153846154</v>
      </c>
      <c r="Y12" s="7">
        <f>IF($G12="Москва",1.3*(IF(IF(N12="Да",1,0)=1,1.4*Лист2!BC$1,Лист2!BC$1)),(IF(IF(N12="Да",1,0)=1,1.4*Лист2!BC$1,Лист2!BC$1)))</f>
        <v>936.92307692307691</v>
      </c>
      <c r="Z12" s="7">
        <f>IF($G12="Москва",1.3*(IF(IF(O12="Да",1,0)=1,1.4*Лист2!BD$1,Лист2!BD$1)),(IF(IF(O12="Да",1,0)=1,1.4*Лист2!BD$1,Лист2!BD$1)))</f>
        <v>339.23076923076917</v>
      </c>
      <c r="AA12" s="7">
        <f>IF($G12="Москва",1.3*(IF(IF(P12="Да",1,0)=1,1.4*Лист2!BE$1,Лист2!BE$1)),(IF(IF(P12="Да",1,0)=1,1.4*Лист2!BE$1,Лист2!BE$1)))</f>
        <v>557.69230769230762</v>
      </c>
      <c r="AB12" s="7">
        <f>IF($G12="Москва",1.3*(IF(IF(Q12="Да",1,0)=1,1.4*Лист2!BF$1,Лист2!BF$1)),(IF(IF(Q12="Да",1,0)=1,1.4*Лист2!BF$1,Лист2!BF$1)))</f>
        <v>67.84615384615384</v>
      </c>
      <c r="AC12" s="7">
        <f>IF($G12="Москва",1.3*(IF(IF(R12="Да",1,0)=1,1.4*Лист2!BG$1,Лист2!BG$1)),(IF(IF(R12="Да",1,0)=1,1.4*Лист2!BG$1,Лист2!BG$1)))</f>
        <v>41.46153846153846</v>
      </c>
      <c r="AD12" s="7">
        <f>IF($G12="Москва",1.3*(IF(IF(S12="Да",1,0)=1,1.4*Лист2!BH$1,Лист2!BH$1)),(IF(IF(S12="Да",1,0)=1,1.4*Лист2!BH$1,Лист2!BH$1)))</f>
        <v>168.26923076923077</v>
      </c>
      <c r="AE12" s="9">
        <f>SUM(T12:AD12)</f>
        <v>3536.7307692307691</v>
      </c>
      <c r="AF12">
        <f>AE12*4.2</f>
        <v>14854.26923076923</v>
      </c>
      <c r="AG12">
        <f t="shared" si="0"/>
        <v>29708.538461538461</v>
      </c>
      <c r="AH12">
        <f>IF(IF(G12="Москва",1,0)=1,Лист2!$BK$6,Лист2!$BL$6)</f>
        <v>9230</v>
      </c>
      <c r="AI12">
        <f>AH12-AF12</f>
        <v>-5624.2692307692305</v>
      </c>
      <c r="AJ12">
        <f>(H12-AE12)*4.2</f>
        <v>6145.7307692307704</v>
      </c>
    </row>
    <row r="13" spans="1:72" ht="28.8" x14ac:dyDescent="0.3">
      <c r="A13" s="3" t="s">
        <v>72</v>
      </c>
      <c r="B13" s="3" t="s">
        <v>45</v>
      </c>
      <c r="C13" s="3">
        <v>20</v>
      </c>
      <c r="D13" s="3" t="s">
        <v>364</v>
      </c>
      <c r="E13" s="3" t="s">
        <v>42</v>
      </c>
      <c r="F13" s="3">
        <v>60000</v>
      </c>
      <c r="G13" s="3" t="s">
        <v>127</v>
      </c>
      <c r="H13" s="3" t="s">
        <v>73</v>
      </c>
      <c r="I13" s="3" t="s">
        <v>42</v>
      </c>
      <c r="J13" s="3" t="s">
        <v>42</v>
      </c>
      <c r="K13" s="3" t="s">
        <v>42</v>
      </c>
      <c r="L13" s="3" t="s">
        <v>42</v>
      </c>
      <c r="M13" s="3" t="s">
        <v>43</v>
      </c>
      <c r="N13" s="3" t="s">
        <v>42</v>
      </c>
      <c r="O13" s="3" t="s">
        <v>43</v>
      </c>
      <c r="P13" s="3" t="s">
        <v>43</v>
      </c>
      <c r="Q13" s="3" t="s">
        <v>42</v>
      </c>
      <c r="R13" s="3" t="s">
        <v>43</v>
      </c>
      <c r="S13" s="3" t="s">
        <v>43</v>
      </c>
      <c r="T13" s="7">
        <f>IF($G13="Москва",1.3*(IF(IF(I13="Да",1,0)=1,1.4*Лист2!AX$1,Лист2!AX$1)),(IF(IF(I13="Да",1,0)=1,1.4*Лист2!AX$1,Лист2!AX$1)))</f>
        <v>396.9</v>
      </c>
      <c r="U13" s="7">
        <f>IF($G13="Москва",1.3*(IF(IF(J13="Да",1,0)=1,1.4*Лист2!AY$1,Лист2!AY$1)),(IF(IF(J13="Да",1,0)=1,1.4*Лист2!AY$1,Лист2!AY$1)))</f>
        <v>350</v>
      </c>
      <c r="V13" s="7">
        <f>IF($G13="Москва",1.3*(IF(IF(K13="Да",1,0)=1,1.4*Лист2!AZ$1,Лист2!AZ$1)),(IF(IF(K13="Да",1,0)=1,1.4*Лист2!AZ$1,Лист2!AZ$1)))</f>
        <v>1197</v>
      </c>
      <c r="W13" s="7">
        <f>IF($G13="Москва",1.3*(IF(IF(L13="Да",1,0)=1,1.4*Лист2!BA$1,Лист2!BA$1)),(IF(IF(L13="Да",1,0)=1,1.4*Лист2!BA$1,Лист2!BA$1)))</f>
        <v>419.99999999999994</v>
      </c>
      <c r="X13" s="7">
        <f>IF($G13="Москва",1.3*(IF(IF(M13="Да",1,0)=1,1.4*Лист2!BB$1,Лист2!BB$1)),(IF(IF(M13="Да",1,0)=1,1.4*Лист2!BB$1,Лист2!BB$1)))</f>
        <v>46.000000000000007</v>
      </c>
      <c r="Y13" s="7">
        <f>IF($G13="Москва",1.3*(IF(IF(N13="Да",1,0)=1,1.4*Лист2!BC$1,Лист2!BC$1)),(IF(IF(N13="Да",1,0)=1,1.4*Лист2!BC$1,Лист2!BC$1)))</f>
        <v>1218</v>
      </c>
      <c r="Z13" s="7">
        <f>IF($G13="Москва",1.3*(IF(IF(O13="Да",1,0)=1,1.4*Лист2!BD$1,Лист2!BD$1)),(IF(IF(O13="Да",1,0)=1,1.4*Лист2!BD$1,Лист2!BD$1)))</f>
        <v>315</v>
      </c>
      <c r="AA13" s="7">
        <f>IF($G13="Москва",1.3*(IF(IF(P13="Да",1,0)=1,1.4*Лист2!BE$1,Лист2!BE$1)),(IF(IF(P13="Да",1,0)=1,1.4*Лист2!BE$1,Лист2!BE$1)))</f>
        <v>724.99999999999989</v>
      </c>
      <c r="AB13" s="7">
        <f>IF($G13="Москва",1.3*(IF(IF(Q13="Да",1,0)=1,1.4*Лист2!BF$1,Лист2!BF$1)),(IF(IF(Q13="Да",1,0)=1,1.4*Лист2!BF$1,Лист2!BF$1)))</f>
        <v>88.199999999999989</v>
      </c>
      <c r="AC13" s="7">
        <f>IF($G13="Москва",1.3*(IF(IF(R13="Да",1,0)=1,1.4*Лист2!BG$1,Лист2!BG$1)),(IF(IF(R13="Да",1,0)=1,1.4*Лист2!BG$1,Лист2!BG$1)))</f>
        <v>38.5</v>
      </c>
      <c r="AD13" s="7">
        <f>IF($G13="Москва",1.3*(IF(IF(S13="Да",1,0)=1,1.4*Лист2!BH$1,Лист2!BH$1)),(IF(IF(S13="Да",1,0)=1,1.4*Лист2!BH$1,Лист2!BH$1)))</f>
        <v>156.25</v>
      </c>
      <c r="AE13" s="9">
        <f>SUM(T13:AD13)</f>
        <v>4950.8499999999995</v>
      </c>
      <c r="AF13">
        <f>AE13*4.2</f>
        <v>20793.57</v>
      </c>
      <c r="AG13">
        <f t="shared" si="0"/>
        <v>41587.14</v>
      </c>
      <c r="AH13">
        <f>IF(IF(G13="Москва",1,0)=1,Лист2!$BK$6,Лист2!$BL$6)</f>
        <v>13651</v>
      </c>
      <c r="AI13">
        <f>AH13-AF13</f>
        <v>-7142.57</v>
      </c>
      <c r="AJ13">
        <f>(H13-AE13)*4.2</f>
        <v>8606.4300000000021</v>
      </c>
    </row>
    <row r="14" spans="1:72" ht="28.8" x14ac:dyDescent="0.3">
      <c r="A14" s="3" t="s">
        <v>74</v>
      </c>
      <c r="B14" s="3" t="s">
        <v>31</v>
      </c>
      <c r="C14" s="3">
        <v>20</v>
      </c>
      <c r="D14" s="3" t="s">
        <v>363</v>
      </c>
      <c r="E14" s="3" t="s">
        <v>42</v>
      </c>
      <c r="F14" s="3">
        <v>60000</v>
      </c>
      <c r="G14" s="3" t="s">
        <v>127</v>
      </c>
      <c r="H14" s="3" t="s">
        <v>47</v>
      </c>
      <c r="I14" s="3" t="s">
        <v>43</v>
      </c>
      <c r="J14" s="3" t="s">
        <v>43</v>
      </c>
      <c r="K14" s="3" t="s">
        <v>43</v>
      </c>
      <c r="L14" s="3" t="s">
        <v>42</v>
      </c>
      <c r="M14" s="3" t="s">
        <v>42</v>
      </c>
      <c r="N14" s="3" t="s">
        <v>42</v>
      </c>
      <c r="O14" s="3" t="s">
        <v>43</v>
      </c>
      <c r="P14" s="3" t="s">
        <v>43</v>
      </c>
      <c r="Q14" s="3" t="s">
        <v>43</v>
      </c>
      <c r="R14" s="3" t="s">
        <v>43</v>
      </c>
      <c r="S14" s="3" t="s">
        <v>42</v>
      </c>
      <c r="T14" s="7">
        <f>IF($G14="Москва",1.3*(IF(IF(I14="Да",1,0)=1,1.4*Лист2!AX$1,Лист2!AX$1)),(IF(IF(I14="Да",1,0)=1,1.4*Лист2!AX$1,Лист2!AX$1)))</f>
        <v>283.5</v>
      </c>
      <c r="U14" s="7">
        <f>IF($G14="Москва",1.3*(IF(IF(J14="Да",1,0)=1,1.4*Лист2!AY$1,Лист2!AY$1)),(IF(IF(J14="Да",1,0)=1,1.4*Лист2!AY$1,Лист2!AY$1)))</f>
        <v>250.00000000000003</v>
      </c>
      <c r="V14" s="7">
        <f>IF($G14="Москва",1.3*(IF(IF(K14="Да",1,0)=1,1.4*Лист2!AZ$1,Лист2!AZ$1)),(IF(IF(K14="Да",1,0)=1,1.4*Лист2!AZ$1,Лист2!AZ$1)))</f>
        <v>855.00000000000011</v>
      </c>
      <c r="W14" s="7">
        <f>IF($G14="Москва",1.3*(IF(IF(L14="Да",1,0)=1,1.4*Лист2!BA$1,Лист2!BA$1)),(IF(IF(L14="Да",1,0)=1,1.4*Лист2!BA$1,Лист2!BA$1)))</f>
        <v>419.99999999999994</v>
      </c>
      <c r="X14" s="7">
        <f>IF($G14="Москва",1.3*(IF(IF(M14="Да",1,0)=1,1.4*Лист2!BB$1,Лист2!BB$1)),(IF(IF(M14="Да",1,0)=1,1.4*Лист2!BB$1,Лист2!BB$1)))</f>
        <v>64.400000000000006</v>
      </c>
      <c r="Y14" s="7">
        <f>IF($G14="Москва",1.3*(IF(IF(N14="Да",1,0)=1,1.4*Лист2!BC$1,Лист2!BC$1)),(IF(IF(N14="Да",1,0)=1,1.4*Лист2!BC$1,Лист2!BC$1)))</f>
        <v>1218</v>
      </c>
      <c r="Z14" s="7">
        <f>IF($G14="Москва",1.3*(IF(IF(O14="Да",1,0)=1,1.4*Лист2!BD$1,Лист2!BD$1)),(IF(IF(O14="Да",1,0)=1,1.4*Лист2!BD$1,Лист2!BD$1)))</f>
        <v>315</v>
      </c>
      <c r="AA14" s="7">
        <f>IF($G14="Москва",1.3*(IF(IF(P14="Да",1,0)=1,1.4*Лист2!BE$1,Лист2!BE$1)),(IF(IF(P14="Да",1,0)=1,1.4*Лист2!BE$1,Лист2!BE$1)))</f>
        <v>724.99999999999989</v>
      </c>
      <c r="AB14" s="7">
        <f>IF($G14="Москва",1.3*(IF(IF(Q14="Да",1,0)=1,1.4*Лист2!BF$1,Лист2!BF$1)),(IF(IF(Q14="Да",1,0)=1,1.4*Лист2!BF$1,Лист2!BF$1)))</f>
        <v>63</v>
      </c>
      <c r="AC14" s="7">
        <f>IF($G14="Москва",1.3*(IF(IF(R14="Да",1,0)=1,1.4*Лист2!BG$1,Лист2!BG$1)),(IF(IF(R14="Да",1,0)=1,1.4*Лист2!BG$1,Лист2!BG$1)))</f>
        <v>38.5</v>
      </c>
      <c r="AD14" s="7">
        <f>IF($G14="Москва",1.3*(IF(IF(S14="Да",1,0)=1,1.4*Лист2!BH$1,Лист2!BH$1)),(IF(IF(S14="Да",1,0)=1,1.4*Лист2!BH$1,Лист2!BH$1)))</f>
        <v>218.75</v>
      </c>
      <c r="AE14" s="9">
        <f>SUM(T14:AD14)</f>
        <v>4451.1499999999996</v>
      </c>
      <c r="AF14">
        <f>AE14*4.2</f>
        <v>18694.829999999998</v>
      </c>
      <c r="AG14">
        <f t="shared" si="0"/>
        <v>37389.659999999996</v>
      </c>
      <c r="AH14">
        <f>IF(IF(G14="Москва",1,0)=1,Лист2!$BK$6,Лист2!$BL$6)</f>
        <v>13651</v>
      </c>
      <c r="AI14">
        <f>AH14-AF14</f>
        <v>-5043.8299999999981</v>
      </c>
      <c r="AJ14">
        <f>(H14-AE14)*4.2</f>
        <v>14905.170000000002</v>
      </c>
    </row>
    <row r="15" spans="1:72" ht="43.2" x14ac:dyDescent="0.3">
      <c r="A15" s="3" t="s">
        <v>75</v>
      </c>
      <c r="B15" s="3" t="s">
        <v>31</v>
      </c>
      <c r="C15" s="3">
        <v>20</v>
      </c>
      <c r="D15" s="3" t="s">
        <v>364</v>
      </c>
      <c r="E15" s="3" t="s">
        <v>42</v>
      </c>
      <c r="F15" s="3">
        <v>12000</v>
      </c>
      <c r="G15" s="3" t="s">
        <v>76</v>
      </c>
      <c r="H15" s="3" t="s">
        <v>77</v>
      </c>
      <c r="I15" s="3" t="s">
        <v>43</v>
      </c>
      <c r="J15" s="3" t="s">
        <v>43</v>
      </c>
      <c r="K15" s="3" t="s">
        <v>43</v>
      </c>
      <c r="L15" s="3" t="s">
        <v>43</v>
      </c>
      <c r="M15" s="3" t="s">
        <v>42</v>
      </c>
      <c r="N15" s="3" t="s">
        <v>42</v>
      </c>
      <c r="O15" s="3" t="s">
        <v>43</v>
      </c>
      <c r="P15" s="3" t="s">
        <v>42</v>
      </c>
      <c r="Q15" s="3" t="s">
        <v>42</v>
      </c>
      <c r="R15" s="3" t="s">
        <v>42</v>
      </c>
      <c r="S15" s="3" t="s">
        <v>42</v>
      </c>
      <c r="T15" s="7">
        <f>IF($G15="Москва",1.3*(IF(IF(I15="Да",1,0)=1,1.4*Лист2!AX$1,Лист2!AX$1)),(IF(IF(I15="Да",1,0)=1,1.4*Лист2!AX$1,Лист2!AX$1)))</f>
        <v>218.07692307692307</v>
      </c>
      <c r="U15" s="7">
        <f>IF($G15="Москва",1.3*(IF(IF(J15="Да",1,0)=1,1.4*Лист2!AY$1,Лист2!AY$1)),(IF(IF(J15="Да",1,0)=1,1.4*Лист2!AY$1,Лист2!AY$1)))</f>
        <v>192.30769230769232</v>
      </c>
      <c r="V15" s="7">
        <f>IF($G15="Москва",1.3*(IF(IF(K15="Да",1,0)=1,1.4*Лист2!AZ$1,Лист2!AZ$1)),(IF(IF(K15="Да",1,0)=1,1.4*Лист2!AZ$1,Лист2!AZ$1)))</f>
        <v>657.69230769230774</v>
      </c>
      <c r="W15" s="7">
        <f>IF($G15="Москва",1.3*(IF(IF(L15="Да",1,0)=1,1.4*Лист2!BA$1,Лист2!BA$1)),(IF(IF(L15="Да",1,0)=1,1.4*Лист2!BA$1,Лист2!BA$1)))</f>
        <v>230.76923076923075</v>
      </c>
      <c r="X15" s="7">
        <f>IF($G15="Москва",1.3*(IF(IF(M15="Да",1,0)=1,1.4*Лист2!BB$1,Лист2!BB$1)),(IF(IF(M15="Да",1,0)=1,1.4*Лист2!BB$1,Лист2!BB$1)))</f>
        <v>49.53846153846154</v>
      </c>
      <c r="Y15" s="7">
        <f>IF($G15="Москва",1.3*(IF(IF(N15="Да",1,0)=1,1.4*Лист2!BC$1,Лист2!BC$1)),(IF(IF(N15="Да",1,0)=1,1.4*Лист2!BC$1,Лист2!BC$1)))</f>
        <v>936.92307692307691</v>
      </c>
      <c r="Z15" s="7">
        <f>IF($G15="Москва",1.3*(IF(IF(O15="Да",1,0)=1,1.4*Лист2!BD$1,Лист2!BD$1)),(IF(IF(O15="Да",1,0)=1,1.4*Лист2!BD$1,Лист2!BD$1)))</f>
        <v>242.30769230769229</v>
      </c>
      <c r="AA15" s="7">
        <f>IF($G15="Москва",1.3*(IF(IF(P15="Да",1,0)=1,1.4*Лист2!BE$1,Лист2!BE$1)),(IF(IF(P15="Да",1,0)=1,1.4*Лист2!BE$1,Лист2!BE$1)))</f>
        <v>780.7692307692306</v>
      </c>
      <c r="AB15" s="7">
        <f>IF($G15="Москва",1.3*(IF(IF(Q15="Да",1,0)=1,1.4*Лист2!BF$1,Лист2!BF$1)),(IF(IF(Q15="Да",1,0)=1,1.4*Лист2!BF$1,Лист2!BF$1)))</f>
        <v>67.84615384615384</v>
      </c>
      <c r="AC15" s="7">
        <f>IF($G15="Москва",1.3*(IF(IF(R15="Да",1,0)=1,1.4*Лист2!BG$1,Лист2!BG$1)),(IF(IF(R15="Да",1,0)=1,1.4*Лист2!BG$1,Лист2!BG$1)))</f>
        <v>41.46153846153846</v>
      </c>
      <c r="AD15" s="7">
        <f>IF($G15="Москва",1.3*(IF(IF(S15="Да",1,0)=1,1.4*Лист2!BH$1,Лист2!BH$1)),(IF(IF(S15="Да",1,0)=1,1.4*Лист2!BH$1,Лист2!BH$1)))</f>
        <v>168.26923076923077</v>
      </c>
      <c r="AE15" s="9">
        <f>SUM(T15:AD15)</f>
        <v>3585.9615384615386</v>
      </c>
      <c r="AF15">
        <f>AE15*4.2</f>
        <v>15061.038461538463</v>
      </c>
      <c r="AG15">
        <f t="shared" si="0"/>
        <v>30122.076923076926</v>
      </c>
      <c r="AH15">
        <f>IF(IF(G15="Москва",1,0)=1,Лист2!$BK$6,Лист2!$BL$6)</f>
        <v>9230</v>
      </c>
      <c r="AI15">
        <f>AH15-AF15</f>
        <v>-5831.0384615384628</v>
      </c>
      <c r="AJ15">
        <f>(H15-AE15)*4.2</f>
        <v>-6661.0384615384619</v>
      </c>
    </row>
    <row r="16" spans="1:72" ht="72" x14ac:dyDescent="0.3">
      <c r="A16" s="3" t="s">
        <v>78</v>
      </c>
      <c r="B16" s="3" t="s">
        <v>45</v>
      </c>
      <c r="C16" s="3">
        <v>20</v>
      </c>
      <c r="D16" s="3" t="s">
        <v>364</v>
      </c>
      <c r="E16" s="3" t="s">
        <v>42</v>
      </c>
      <c r="F16" s="3">
        <v>60000</v>
      </c>
      <c r="G16" s="3" t="s">
        <v>79</v>
      </c>
      <c r="H16" s="3" t="s">
        <v>80</v>
      </c>
      <c r="I16" s="3" t="s">
        <v>43</v>
      </c>
      <c r="J16" s="3" t="s">
        <v>42</v>
      </c>
      <c r="K16" s="3" t="s">
        <v>43</v>
      </c>
      <c r="L16" s="3" t="s">
        <v>42</v>
      </c>
      <c r="M16" s="3" t="s">
        <v>42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43</v>
      </c>
      <c r="S16" s="3" t="s">
        <v>43</v>
      </c>
      <c r="T16" s="7">
        <f>IF($G16="Москва",1.3*(IF(IF(I16="Да",1,0)=1,1.4*Лист2!AX$1,Лист2!AX$1)),(IF(IF(I16="Да",1,0)=1,1.4*Лист2!AX$1,Лист2!AX$1)))</f>
        <v>218.07692307692307</v>
      </c>
      <c r="U16" s="7">
        <f>IF($G16="Москва",1.3*(IF(IF(J16="Да",1,0)=1,1.4*Лист2!AY$1,Лист2!AY$1)),(IF(IF(J16="Да",1,0)=1,1.4*Лист2!AY$1,Лист2!AY$1)))</f>
        <v>269.23076923076923</v>
      </c>
      <c r="V16" s="7">
        <f>IF($G16="Москва",1.3*(IF(IF(K16="Да",1,0)=1,1.4*Лист2!AZ$1,Лист2!AZ$1)),(IF(IF(K16="Да",1,0)=1,1.4*Лист2!AZ$1,Лист2!AZ$1)))</f>
        <v>657.69230769230774</v>
      </c>
      <c r="W16" s="7">
        <f>IF($G16="Москва",1.3*(IF(IF(L16="Да",1,0)=1,1.4*Лист2!BA$1,Лист2!BA$1)),(IF(IF(L16="Да",1,0)=1,1.4*Лист2!BA$1,Лист2!BA$1)))</f>
        <v>323.07692307692304</v>
      </c>
      <c r="X16" s="7">
        <f>IF($G16="Москва",1.3*(IF(IF(M16="Да",1,0)=1,1.4*Лист2!BB$1,Лист2!BB$1)),(IF(IF(M16="Да",1,0)=1,1.4*Лист2!BB$1,Лист2!BB$1)))</f>
        <v>49.53846153846154</v>
      </c>
      <c r="Y16" s="7">
        <f>IF($G16="Москва",1.3*(IF(IF(N16="Да",1,0)=1,1.4*Лист2!BC$1,Лист2!BC$1)),(IF(IF(N16="Да",1,0)=1,1.4*Лист2!BC$1,Лист2!BC$1)))</f>
        <v>669.23076923076928</v>
      </c>
      <c r="Z16" s="7">
        <f>IF($G16="Москва",1.3*(IF(IF(O16="Да",1,0)=1,1.4*Лист2!BD$1,Лист2!BD$1)),(IF(IF(O16="Да",1,0)=1,1.4*Лист2!BD$1,Лист2!BD$1)))</f>
        <v>242.30769230769229</v>
      </c>
      <c r="AA16" s="7">
        <f>IF($G16="Москва",1.3*(IF(IF(P16="Да",1,0)=1,1.4*Лист2!BE$1,Лист2!BE$1)),(IF(IF(P16="Да",1,0)=1,1.4*Лист2!BE$1,Лист2!BE$1)))</f>
        <v>557.69230769230762</v>
      </c>
      <c r="AB16" s="7">
        <f>IF($G16="Москва",1.3*(IF(IF(Q16="Да",1,0)=1,1.4*Лист2!BF$1,Лист2!BF$1)),(IF(IF(Q16="Да",1,0)=1,1.4*Лист2!BF$1,Лист2!BF$1)))</f>
        <v>48.46153846153846</v>
      </c>
      <c r="AC16" s="7">
        <f>IF($G16="Москва",1.3*(IF(IF(R16="Да",1,0)=1,1.4*Лист2!BG$1,Лист2!BG$1)),(IF(IF(R16="Да",1,0)=1,1.4*Лист2!BG$1,Лист2!BG$1)))</f>
        <v>29.615384615384617</v>
      </c>
      <c r="AD16" s="7">
        <f>IF($G16="Москва",1.3*(IF(IF(S16="Да",1,0)=1,1.4*Лист2!BH$1,Лист2!BH$1)),(IF(IF(S16="Да",1,0)=1,1.4*Лист2!BH$1,Лист2!BH$1)))</f>
        <v>120.19230769230769</v>
      </c>
      <c r="AE16" s="9">
        <f>SUM(T16:AD16)</f>
        <v>3185.1153846153848</v>
      </c>
      <c r="AF16">
        <f>AE16*4.2</f>
        <v>13377.484615384617</v>
      </c>
      <c r="AG16">
        <f t="shared" si="0"/>
        <v>26754.969230769235</v>
      </c>
      <c r="AH16">
        <f>IF(IF(G16="Москва",1,0)=1,Лист2!$BK$6,Лист2!$BL$6)</f>
        <v>9230</v>
      </c>
      <c r="AI16">
        <f>AH16-AF16</f>
        <v>-4147.4846153846174</v>
      </c>
      <c r="AJ16">
        <f>(H16-AE16)*4.2</f>
        <v>11822.515384615384</v>
      </c>
    </row>
    <row r="17" spans="1:36" ht="28.8" x14ac:dyDescent="0.3">
      <c r="A17" s="3" t="s">
        <v>81</v>
      </c>
      <c r="B17" s="3" t="s">
        <v>31</v>
      </c>
      <c r="C17" s="3">
        <v>20</v>
      </c>
      <c r="D17" s="3" t="s">
        <v>363</v>
      </c>
      <c r="E17" s="3" t="s">
        <v>43</v>
      </c>
      <c r="F17" s="3">
        <v>21000</v>
      </c>
      <c r="G17" s="3" t="s">
        <v>127</v>
      </c>
      <c r="H17" s="3" t="s">
        <v>55</v>
      </c>
      <c r="I17" s="3" t="s">
        <v>42</v>
      </c>
      <c r="J17" s="3" t="s">
        <v>43</v>
      </c>
      <c r="K17" s="3" t="s">
        <v>43</v>
      </c>
      <c r="L17" s="3" t="s">
        <v>42</v>
      </c>
      <c r="M17" s="3" t="s">
        <v>43</v>
      </c>
      <c r="N17" s="3" t="s">
        <v>42</v>
      </c>
      <c r="O17" s="3" t="s">
        <v>43</v>
      </c>
      <c r="P17" s="3" t="s">
        <v>43</v>
      </c>
      <c r="Q17" s="3" t="s">
        <v>43</v>
      </c>
      <c r="R17" s="3" t="s">
        <v>43</v>
      </c>
      <c r="S17" s="3" t="s">
        <v>42</v>
      </c>
      <c r="T17" s="7">
        <f>IF($G17="Москва",1.3*(IF(IF(I17="Да",1,0)=1,1.4*Лист2!AX$1,Лист2!AX$1)),(IF(IF(I17="Да",1,0)=1,1.4*Лист2!AX$1,Лист2!AX$1)))</f>
        <v>396.9</v>
      </c>
      <c r="U17" s="7">
        <f>IF($G17="Москва",1.3*(IF(IF(J17="Да",1,0)=1,1.4*Лист2!AY$1,Лист2!AY$1)),(IF(IF(J17="Да",1,0)=1,1.4*Лист2!AY$1,Лист2!AY$1)))</f>
        <v>250.00000000000003</v>
      </c>
      <c r="V17" s="7">
        <f>IF($G17="Москва",1.3*(IF(IF(K17="Да",1,0)=1,1.4*Лист2!AZ$1,Лист2!AZ$1)),(IF(IF(K17="Да",1,0)=1,1.4*Лист2!AZ$1,Лист2!AZ$1)))</f>
        <v>855.00000000000011</v>
      </c>
      <c r="W17" s="7">
        <f>IF($G17="Москва",1.3*(IF(IF(L17="Да",1,0)=1,1.4*Лист2!BA$1,Лист2!BA$1)),(IF(IF(L17="Да",1,0)=1,1.4*Лист2!BA$1,Лист2!BA$1)))</f>
        <v>419.99999999999994</v>
      </c>
      <c r="X17" s="7">
        <f>IF($G17="Москва",1.3*(IF(IF(M17="Да",1,0)=1,1.4*Лист2!BB$1,Лист2!BB$1)),(IF(IF(M17="Да",1,0)=1,1.4*Лист2!BB$1,Лист2!BB$1)))</f>
        <v>46.000000000000007</v>
      </c>
      <c r="Y17" s="7">
        <f>IF($G17="Москва",1.3*(IF(IF(N17="Да",1,0)=1,1.4*Лист2!BC$1,Лист2!BC$1)),(IF(IF(N17="Да",1,0)=1,1.4*Лист2!BC$1,Лист2!BC$1)))</f>
        <v>1218</v>
      </c>
      <c r="Z17" s="7">
        <f>IF($G17="Москва",1.3*(IF(IF(O17="Да",1,0)=1,1.4*Лист2!BD$1,Лист2!BD$1)),(IF(IF(O17="Да",1,0)=1,1.4*Лист2!BD$1,Лист2!BD$1)))</f>
        <v>315</v>
      </c>
      <c r="AA17" s="7">
        <f>IF($G17="Москва",1.3*(IF(IF(P17="Да",1,0)=1,1.4*Лист2!BE$1,Лист2!BE$1)),(IF(IF(P17="Да",1,0)=1,1.4*Лист2!BE$1,Лист2!BE$1)))</f>
        <v>724.99999999999989</v>
      </c>
      <c r="AB17" s="7">
        <f>IF($G17="Москва",1.3*(IF(IF(Q17="Да",1,0)=1,1.4*Лист2!BF$1,Лист2!BF$1)),(IF(IF(Q17="Да",1,0)=1,1.4*Лист2!BF$1,Лист2!BF$1)))</f>
        <v>63</v>
      </c>
      <c r="AC17" s="7">
        <f>IF($G17="Москва",1.3*(IF(IF(R17="Да",1,0)=1,1.4*Лист2!BG$1,Лист2!BG$1)),(IF(IF(R17="Да",1,0)=1,1.4*Лист2!BG$1,Лист2!BG$1)))</f>
        <v>38.5</v>
      </c>
      <c r="AD17" s="7">
        <f>IF($G17="Москва",1.3*(IF(IF(S17="Да",1,0)=1,1.4*Лист2!BH$1,Лист2!BH$1)),(IF(IF(S17="Да",1,0)=1,1.4*Лист2!BH$1,Лист2!BH$1)))</f>
        <v>218.75</v>
      </c>
      <c r="AE17" s="9">
        <f>SUM(T17:AD17)</f>
        <v>4546.1499999999996</v>
      </c>
      <c r="AF17">
        <f>AE17*4.2</f>
        <v>19093.829999999998</v>
      </c>
      <c r="AG17">
        <f t="shared" si="0"/>
        <v>38187.659999999996</v>
      </c>
      <c r="AH17">
        <f>IF(IF(G17="Москва",1,0)=1,Лист2!$BK$6,Лист2!$BL$6)</f>
        <v>13651</v>
      </c>
      <c r="AI17">
        <f>AH17-AF17</f>
        <v>-5442.8299999999981</v>
      </c>
      <c r="AJ17">
        <f>(H17-AE17)*4.2</f>
        <v>1906.1700000000017</v>
      </c>
    </row>
    <row r="18" spans="1:36" ht="28.8" x14ac:dyDescent="0.3">
      <c r="A18" s="3" t="s">
        <v>82</v>
      </c>
      <c r="B18" s="3" t="s">
        <v>31</v>
      </c>
      <c r="C18" s="3">
        <v>20</v>
      </c>
      <c r="D18" s="3" t="s">
        <v>363</v>
      </c>
      <c r="E18" s="3" t="s">
        <v>43</v>
      </c>
      <c r="F18" s="3">
        <v>30000</v>
      </c>
      <c r="G18" s="3" t="s">
        <v>127</v>
      </c>
      <c r="H18" s="3" t="s">
        <v>77</v>
      </c>
      <c r="I18" s="3" t="s">
        <v>43</v>
      </c>
      <c r="J18" s="3" t="s">
        <v>43</v>
      </c>
      <c r="K18" s="3" t="s">
        <v>43</v>
      </c>
      <c r="L18" s="3" t="s">
        <v>42</v>
      </c>
      <c r="M18" s="3" t="s">
        <v>43</v>
      </c>
      <c r="N18" s="3" t="s">
        <v>42</v>
      </c>
      <c r="O18" s="3" t="s">
        <v>43</v>
      </c>
      <c r="P18" s="3" t="s">
        <v>43</v>
      </c>
      <c r="Q18" s="3" t="s">
        <v>42</v>
      </c>
      <c r="R18" s="3" t="s">
        <v>43</v>
      </c>
      <c r="S18" s="3" t="s">
        <v>43</v>
      </c>
      <c r="T18" s="7">
        <f>IF($G18="Москва",1.3*(IF(IF(I18="Да",1,0)=1,1.4*Лист2!AX$1,Лист2!AX$1)),(IF(IF(I18="Да",1,0)=1,1.4*Лист2!AX$1,Лист2!AX$1)))</f>
        <v>283.5</v>
      </c>
      <c r="U18" s="7">
        <f>IF($G18="Москва",1.3*(IF(IF(J18="Да",1,0)=1,1.4*Лист2!AY$1,Лист2!AY$1)),(IF(IF(J18="Да",1,0)=1,1.4*Лист2!AY$1,Лист2!AY$1)))</f>
        <v>250.00000000000003</v>
      </c>
      <c r="V18" s="7">
        <f>IF($G18="Москва",1.3*(IF(IF(K18="Да",1,0)=1,1.4*Лист2!AZ$1,Лист2!AZ$1)),(IF(IF(K18="Да",1,0)=1,1.4*Лист2!AZ$1,Лист2!AZ$1)))</f>
        <v>855.00000000000011</v>
      </c>
      <c r="W18" s="7">
        <f>IF($G18="Москва",1.3*(IF(IF(L18="Да",1,0)=1,1.4*Лист2!BA$1,Лист2!BA$1)),(IF(IF(L18="Да",1,0)=1,1.4*Лист2!BA$1,Лист2!BA$1)))</f>
        <v>419.99999999999994</v>
      </c>
      <c r="X18" s="7">
        <f>IF($G18="Москва",1.3*(IF(IF(M18="Да",1,0)=1,1.4*Лист2!BB$1,Лист2!BB$1)),(IF(IF(M18="Да",1,0)=1,1.4*Лист2!BB$1,Лист2!BB$1)))</f>
        <v>46.000000000000007</v>
      </c>
      <c r="Y18" s="7">
        <f>IF($G18="Москва",1.3*(IF(IF(N18="Да",1,0)=1,1.4*Лист2!BC$1,Лист2!BC$1)),(IF(IF(N18="Да",1,0)=1,1.4*Лист2!BC$1,Лист2!BC$1)))</f>
        <v>1218</v>
      </c>
      <c r="Z18" s="7">
        <f>IF($G18="Москва",1.3*(IF(IF(O18="Да",1,0)=1,1.4*Лист2!BD$1,Лист2!BD$1)),(IF(IF(O18="Да",1,0)=1,1.4*Лист2!BD$1,Лист2!BD$1)))</f>
        <v>315</v>
      </c>
      <c r="AA18" s="7">
        <f>IF($G18="Москва",1.3*(IF(IF(P18="Да",1,0)=1,1.4*Лист2!BE$1,Лист2!BE$1)),(IF(IF(P18="Да",1,0)=1,1.4*Лист2!BE$1,Лист2!BE$1)))</f>
        <v>724.99999999999989</v>
      </c>
      <c r="AB18" s="7">
        <f>IF($G18="Москва",1.3*(IF(IF(Q18="Да",1,0)=1,1.4*Лист2!BF$1,Лист2!BF$1)),(IF(IF(Q18="Да",1,0)=1,1.4*Лист2!BF$1,Лист2!BF$1)))</f>
        <v>88.199999999999989</v>
      </c>
      <c r="AC18" s="7">
        <f>IF($G18="Москва",1.3*(IF(IF(R18="Да",1,0)=1,1.4*Лист2!BG$1,Лист2!BG$1)),(IF(IF(R18="Да",1,0)=1,1.4*Лист2!BG$1,Лист2!BG$1)))</f>
        <v>38.5</v>
      </c>
      <c r="AD18" s="7">
        <f>IF($G18="Москва",1.3*(IF(IF(S18="Да",1,0)=1,1.4*Лист2!BH$1,Лист2!BH$1)),(IF(IF(S18="Да",1,0)=1,1.4*Лист2!BH$1,Лист2!BH$1)))</f>
        <v>156.25</v>
      </c>
      <c r="AE18" s="9">
        <f>SUM(T18:AD18)</f>
        <v>4395.45</v>
      </c>
      <c r="AF18">
        <f>AE18*4.2</f>
        <v>18460.89</v>
      </c>
      <c r="AG18">
        <f t="shared" si="0"/>
        <v>36921.78</v>
      </c>
      <c r="AH18">
        <f>IF(IF(G18="Москва",1,0)=1,Лист2!$BK$6,Лист2!$BL$6)</f>
        <v>13651</v>
      </c>
      <c r="AI18">
        <f>AH18-AF18</f>
        <v>-4809.8899999999994</v>
      </c>
      <c r="AJ18">
        <f>(H18-AE18)*4.2</f>
        <v>-10060.89</v>
      </c>
    </row>
    <row r="19" spans="1:36" ht="28.8" x14ac:dyDescent="0.3">
      <c r="A19" s="3" t="s">
        <v>83</v>
      </c>
      <c r="B19" s="3" t="s">
        <v>45</v>
      </c>
      <c r="C19" s="3">
        <v>20</v>
      </c>
      <c r="D19" s="3" t="s">
        <v>363</v>
      </c>
      <c r="E19" s="3" t="s">
        <v>42</v>
      </c>
      <c r="F19" s="3">
        <v>60000</v>
      </c>
      <c r="G19" s="3" t="s">
        <v>127</v>
      </c>
      <c r="H19" s="3" t="s">
        <v>84</v>
      </c>
      <c r="I19" s="3" t="s">
        <v>43</v>
      </c>
      <c r="J19" s="3" t="s">
        <v>43</v>
      </c>
      <c r="K19" s="3" t="s">
        <v>43</v>
      </c>
      <c r="L19" s="3" t="s">
        <v>43</v>
      </c>
      <c r="M19" s="3" t="s">
        <v>43</v>
      </c>
      <c r="N19" s="3" t="s">
        <v>42</v>
      </c>
      <c r="O19" s="3" t="s">
        <v>43</v>
      </c>
      <c r="P19" s="3" t="s">
        <v>42</v>
      </c>
      <c r="Q19" s="3" t="s">
        <v>42</v>
      </c>
      <c r="R19" s="3" t="s">
        <v>42</v>
      </c>
      <c r="S19" s="3" t="s">
        <v>43</v>
      </c>
      <c r="T19" s="7">
        <f>IF($G19="Москва",1.3*(IF(IF(I19="Да",1,0)=1,1.4*Лист2!AX$1,Лист2!AX$1)),(IF(IF(I19="Да",1,0)=1,1.4*Лист2!AX$1,Лист2!AX$1)))</f>
        <v>283.5</v>
      </c>
      <c r="U19" s="7">
        <f>IF($G19="Москва",1.3*(IF(IF(J19="Да",1,0)=1,1.4*Лист2!AY$1,Лист2!AY$1)),(IF(IF(J19="Да",1,0)=1,1.4*Лист2!AY$1,Лист2!AY$1)))</f>
        <v>250.00000000000003</v>
      </c>
      <c r="V19" s="7">
        <f>IF($G19="Москва",1.3*(IF(IF(K19="Да",1,0)=1,1.4*Лист2!AZ$1,Лист2!AZ$1)),(IF(IF(K19="Да",1,0)=1,1.4*Лист2!AZ$1,Лист2!AZ$1)))</f>
        <v>855.00000000000011</v>
      </c>
      <c r="W19" s="7">
        <f>IF($G19="Москва",1.3*(IF(IF(L19="Да",1,0)=1,1.4*Лист2!BA$1,Лист2!BA$1)),(IF(IF(L19="Да",1,0)=1,1.4*Лист2!BA$1,Лист2!BA$1)))</f>
        <v>300</v>
      </c>
      <c r="X19" s="7">
        <f>IF($G19="Москва",1.3*(IF(IF(M19="Да",1,0)=1,1.4*Лист2!BB$1,Лист2!BB$1)),(IF(IF(M19="Да",1,0)=1,1.4*Лист2!BB$1,Лист2!BB$1)))</f>
        <v>46.000000000000007</v>
      </c>
      <c r="Y19" s="7">
        <f>IF($G19="Москва",1.3*(IF(IF(N19="Да",1,0)=1,1.4*Лист2!BC$1,Лист2!BC$1)),(IF(IF(N19="Да",1,0)=1,1.4*Лист2!BC$1,Лист2!BC$1)))</f>
        <v>1218</v>
      </c>
      <c r="Z19" s="7">
        <f>IF($G19="Москва",1.3*(IF(IF(O19="Да",1,0)=1,1.4*Лист2!BD$1,Лист2!BD$1)),(IF(IF(O19="Да",1,0)=1,1.4*Лист2!BD$1,Лист2!BD$1)))</f>
        <v>315</v>
      </c>
      <c r="AA19" s="7">
        <f>IF($G19="Москва",1.3*(IF(IF(P19="Да",1,0)=1,1.4*Лист2!BE$1,Лист2!BE$1)),(IF(IF(P19="Да",1,0)=1,1.4*Лист2!BE$1,Лист2!BE$1)))</f>
        <v>1014.9999999999998</v>
      </c>
      <c r="AB19" s="7">
        <f>IF($G19="Москва",1.3*(IF(IF(Q19="Да",1,0)=1,1.4*Лист2!BF$1,Лист2!BF$1)),(IF(IF(Q19="Да",1,0)=1,1.4*Лист2!BF$1,Лист2!BF$1)))</f>
        <v>88.199999999999989</v>
      </c>
      <c r="AC19" s="7">
        <f>IF($G19="Москва",1.3*(IF(IF(R19="Да",1,0)=1,1.4*Лист2!BG$1,Лист2!BG$1)),(IF(IF(R19="Да",1,0)=1,1.4*Лист2!BG$1,Лист2!BG$1)))</f>
        <v>53.9</v>
      </c>
      <c r="AD19" s="7">
        <f>IF($G19="Москва",1.3*(IF(IF(S19="Да",1,0)=1,1.4*Лист2!BH$1,Лист2!BH$1)),(IF(IF(S19="Да",1,0)=1,1.4*Лист2!BH$1,Лист2!BH$1)))</f>
        <v>156.25</v>
      </c>
      <c r="AE19" s="9">
        <f>SUM(T19:AD19)</f>
        <v>4580.8499999999995</v>
      </c>
      <c r="AF19">
        <f>AE19*4.2</f>
        <v>19239.57</v>
      </c>
      <c r="AG19">
        <f t="shared" si="0"/>
        <v>38479.14</v>
      </c>
      <c r="AH19">
        <f>IF(IF(G19="Москва",1,0)=1,Лист2!$BK$6,Лист2!$BL$6)</f>
        <v>13651</v>
      </c>
      <c r="AI19">
        <f>AH19-AF19</f>
        <v>-5588.57</v>
      </c>
      <c r="AJ19">
        <f>(H19-AE19)*4.2</f>
        <v>43760.430000000008</v>
      </c>
    </row>
    <row r="20" spans="1:36" ht="28.8" x14ac:dyDescent="0.3">
      <c r="A20" s="3" t="s">
        <v>85</v>
      </c>
      <c r="B20" s="3" t="s">
        <v>45</v>
      </c>
      <c r="C20" s="3">
        <v>27</v>
      </c>
      <c r="D20" s="3" t="s">
        <v>364</v>
      </c>
      <c r="E20" s="3" t="s">
        <v>42</v>
      </c>
      <c r="F20" s="3">
        <v>60000</v>
      </c>
      <c r="G20" s="3" t="s">
        <v>127</v>
      </c>
      <c r="H20" s="3" t="s">
        <v>55</v>
      </c>
      <c r="I20" s="3" t="s">
        <v>43</v>
      </c>
      <c r="J20" s="3" t="s">
        <v>42</v>
      </c>
      <c r="K20" s="3" t="s">
        <v>43</v>
      </c>
      <c r="L20" s="3" t="s">
        <v>43</v>
      </c>
      <c r="M20" s="3" t="s">
        <v>43</v>
      </c>
      <c r="N20" s="3" t="s">
        <v>42</v>
      </c>
      <c r="O20" s="3" t="s">
        <v>43</v>
      </c>
      <c r="P20" s="3" t="s">
        <v>42</v>
      </c>
      <c r="Q20" s="3" t="s">
        <v>43</v>
      </c>
      <c r="R20" s="3" t="s">
        <v>43</v>
      </c>
      <c r="S20" s="3" t="s">
        <v>43</v>
      </c>
      <c r="T20" s="7">
        <f>IF($G20="Москва",1.3*(IF(IF(I20="Да",1,0)=1,1.4*Лист2!AX$1,Лист2!AX$1)),(IF(IF(I20="Да",1,0)=1,1.4*Лист2!AX$1,Лист2!AX$1)))</f>
        <v>283.5</v>
      </c>
      <c r="U20" s="7">
        <f>IF($G20="Москва",1.3*(IF(IF(J20="Да",1,0)=1,1.4*Лист2!AY$1,Лист2!AY$1)),(IF(IF(J20="Да",1,0)=1,1.4*Лист2!AY$1,Лист2!AY$1)))</f>
        <v>350</v>
      </c>
      <c r="V20" s="7">
        <f>IF($G20="Москва",1.3*(IF(IF(K20="Да",1,0)=1,1.4*Лист2!AZ$1,Лист2!AZ$1)),(IF(IF(K20="Да",1,0)=1,1.4*Лист2!AZ$1,Лист2!AZ$1)))</f>
        <v>855.00000000000011</v>
      </c>
      <c r="W20" s="7">
        <f>IF($G20="Москва",1.3*(IF(IF(L20="Да",1,0)=1,1.4*Лист2!BA$1,Лист2!BA$1)),(IF(IF(L20="Да",1,0)=1,1.4*Лист2!BA$1,Лист2!BA$1)))</f>
        <v>300</v>
      </c>
      <c r="X20" s="7">
        <f>IF($G20="Москва",1.3*(IF(IF(M20="Да",1,0)=1,1.4*Лист2!BB$1,Лист2!BB$1)),(IF(IF(M20="Да",1,0)=1,1.4*Лист2!BB$1,Лист2!BB$1)))</f>
        <v>46.000000000000007</v>
      </c>
      <c r="Y20" s="7">
        <f>IF($G20="Москва",1.3*(IF(IF(N20="Да",1,0)=1,1.4*Лист2!BC$1,Лист2!BC$1)),(IF(IF(N20="Да",1,0)=1,1.4*Лист2!BC$1,Лист2!BC$1)))</f>
        <v>1218</v>
      </c>
      <c r="Z20" s="7">
        <f>IF($G20="Москва",1.3*(IF(IF(O20="Да",1,0)=1,1.4*Лист2!BD$1,Лист2!BD$1)),(IF(IF(O20="Да",1,0)=1,1.4*Лист2!BD$1,Лист2!BD$1)))</f>
        <v>315</v>
      </c>
      <c r="AA20" s="7">
        <f>IF($G20="Москва",1.3*(IF(IF(P20="Да",1,0)=1,1.4*Лист2!BE$1,Лист2!BE$1)),(IF(IF(P20="Да",1,0)=1,1.4*Лист2!BE$1,Лист2!BE$1)))</f>
        <v>1014.9999999999998</v>
      </c>
      <c r="AB20" s="7">
        <f>IF($G20="Москва",1.3*(IF(IF(Q20="Да",1,0)=1,1.4*Лист2!BF$1,Лист2!BF$1)),(IF(IF(Q20="Да",1,0)=1,1.4*Лист2!BF$1,Лист2!BF$1)))</f>
        <v>63</v>
      </c>
      <c r="AC20" s="7">
        <f>IF($G20="Москва",1.3*(IF(IF(R20="Да",1,0)=1,1.4*Лист2!BG$1,Лист2!BG$1)),(IF(IF(R20="Да",1,0)=1,1.4*Лист2!BG$1,Лист2!BG$1)))</f>
        <v>38.5</v>
      </c>
      <c r="AD20" s="7">
        <f>IF($G20="Москва",1.3*(IF(IF(S20="Да",1,0)=1,1.4*Лист2!BH$1,Лист2!BH$1)),(IF(IF(S20="Да",1,0)=1,1.4*Лист2!BH$1,Лист2!BH$1)))</f>
        <v>156.25</v>
      </c>
      <c r="AE20" s="9">
        <f>SUM(T20:AD20)</f>
        <v>4640.25</v>
      </c>
      <c r="AF20">
        <f>AE20*4.2</f>
        <v>19489.05</v>
      </c>
      <c r="AG20">
        <f t="shared" si="0"/>
        <v>38978.1</v>
      </c>
      <c r="AH20">
        <f>IF(IF(G20="Москва",1,0)=1,Лист2!$BK$6,Лист2!$BL$6)</f>
        <v>13651</v>
      </c>
      <c r="AI20">
        <f>AH20-AF20</f>
        <v>-5838.0499999999993</v>
      </c>
      <c r="AJ20">
        <f>(H20-AE20)*4.2</f>
        <v>1510.95</v>
      </c>
    </row>
    <row r="21" spans="1:36" ht="72" x14ac:dyDescent="0.3">
      <c r="A21" s="3" t="s">
        <v>86</v>
      </c>
      <c r="B21" s="3" t="s">
        <v>31</v>
      </c>
      <c r="C21" s="3">
        <v>20</v>
      </c>
      <c r="D21" s="3" t="s">
        <v>364</v>
      </c>
      <c r="E21" s="3" t="s">
        <v>43</v>
      </c>
      <c r="F21" s="3">
        <v>12000</v>
      </c>
      <c r="G21" s="3" t="s">
        <v>71</v>
      </c>
      <c r="H21" s="3" t="s">
        <v>80</v>
      </c>
      <c r="I21" s="3" t="s">
        <v>43</v>
      </c>
      <c r="J21" s="3" t="s">
        <v>43</v>
      </c>
      <c r="K21" s="3" t="s">
        <v>42</v>
      </c>
      <c r="L21" s="3" t="s">
        <v>43</v>
      </c>
      <c r="M21" s="3" t="s">
        <v>42</v>
      </c>
      <c r="N21" s="3" t="s">
        <v>43</v>
      </c>
      <c r="O21" s="3" t="s">
        <v>43</v>
      </c>
      <c r="P21" s="3" t="s">
        <v>42</v>
      </c>
      <c r="Q21" s="3" t="s">
        <v>43</v>
      </c>
      <c r="R21" s="3" t="s">
        <v>42</v>
      </c>
      <c r="S21" s="3" t="s">
        <v>42</v>
      </c>
      <c r="T21" s="7">
        <f>IF($G21="Москва",1.3*(IF(IF(I21="Да",1,0)=1,1.4*Лист2!AX$1,Лист2!AX$1)),(IF(IF(I21="Да",1,0)=1,1.4*Лист2!AX$1,Лист2!AX$1)))</f>
        <v>218.07692307692307</v>
      </c>
      <c r="U21" s="7">
        <f>IF($G21="Москва",1.3*(IF(IF(J21="Да",1,0)=1,1.4*Лист2!AY$1,Лист2!AY$1)),(IF(IF(J21="Да",1,0)=1,1.4*Лист2!AY$1,Лист2!AY$1)))</f>
        <v>192.30769230769232</v>
      </c>
      <c r="V21" s="7">
        <f>IF($G21="Москва",1.3*(IF(IF(K21="Да",1,0)=1,1.4*Лист2!AZ$1,Лист2!AZ$1)),(IF(IF(K21="Да",1,0)=1,1.4*Лист2!AZ$1,Лист2!AZ$1)))</f>
        <v>920.76923076923072</v>
      </c>
      <c r="W21" s="7">
        <f>IF($G21="Москва",1.3*(IF(IF(L21="Да",1,0)=1,1.4*Лист2!BA$1,Лист2!BA$1)),(IF(IF(L21="Да",1,0)=1,1.4*Лист2!BA$1,Лист2!BA$1)))</f>
        <v>230.76923076923075</v>
      </c>
      <c r="X21" s="7">
        <f>IF($G21="Москва",1.3*(IF(IF(M21="Да",1,0)=1,1.4*Лист2!BB$1,Лист2!BB$1)),(IF(IF(M21="Да",1,0)=1,1.4*Лист2!BB$1,Лист2!BB$1)))</f>
        <v>49.53846153846154</v>
      </c>
      <c r="Y21" s="7">
        <f>IF($G21="Москва",1.3*(IF(IF(N21="Да",1,0)=1,1.4*Лист2!BC$1,Лист2!BC$1)),(IF(IF(N21="Да",1,0)=1,1.4*Лист2!BC$1,Лист2!BC$1)))</f>
        <v>669.23076923076928</v>
      </c>
      <c r="Z21" s="7">
        <f>IF($G21="Москва",1.3*(IF(IF(O21="Да",1,0)=1,1.4*Лист2!BD$1,Лист2!BD$1)),(IF(IF(O21="Да",1,0)=1,1.4*Лист2!BD$1,Лист2!BD$1)))</f>
        <v>242.30769230769229</v>
      </c>
      <c r="AA21" s="7">
        <f>IF($G21="Москва",1.3*(IF(IF(P21="Да",1,0)=1,1.4*Лист2!BE$1,Лист2!BE$1)),(IF(IF(P21="Да",1,0)=1,1.4*Лист2!BE$1,Лист2!BE$1)))</f>
        <v>780.7692307692306</v>
      </c>
      <c r="AB21" s="7">
        <f>IF($G21="Москва",1.3*(IF(IF(Q21="Да",1,0)=1,1.4*Лист2!BF$1,Лист2!BF$1)),(IF(IF(Q21="Да",1,0)=1,1.4*Лист2!BF$1,Лист2!BF$1)))</f>
        <v>48.46153846153846</v>
      </c>
      <c r="AC21" s="7">
        <f>IF($G21="Москва",1.3*(IF(IF(R21="Да",1,0)=1,1.4*Лист2!BG$1,Лист2!BG$1)),(IF(IF(R21="Да",1,0)=1,1.4*Лист2!BG$1,Лист2!BG$1)))</f>
        <v>41.46153846153846</v>
      </c>
      <c r="AD21" s="7">
        <f>IF($G21="Москва",1.3*(IF(IF(S21="Да",1,0)=1,1.4*Лист2!BH$1,Лист2!BH$1)),(IF(IF(S21="Да",1,0)=1,1.4*Лист2!BH$1,Лист2!BH$1)))</f>
        <v>168.26923076923077</v>
      </c>
      <c r="AE21" s="9">
        <f>SUM(T21:AD21)</f>
        <v>3561.9615384615386</v>
      </c>
      <c r="AF21">
        <f>AE21*4.2</f>
        <v>14960.238461538462</v>
      </c>
      <c r="AG21">
        <f t="shared" si="0"/>
        <v>29920.476923076923</v>
      </c>
      <c r="AH21">
        <f>IF(IF(G21="Москва",1,0)=1,Лист2!$BK$6,Лист2!$BL$6)</f>
        <v>9230</v>
      </c>
      <c r="AI21">
        <f>AH21-AF21</f>
        <v>-5730.2384615384617</v>
      </c>
      <c r="AJ21">
        <f>(H21-AE21)*4.2</f>
        <v>10239.761538461538</v>
      </c>
    </row>
    <row r="22" spans="1:36" ht="129.6" x14ac:dyDescent="0.3">
      <c r="A22" s="3" t="s">
        <v>87</v>
      </c>
      <c r="B22" s="3" t="s">
        <v>31</v>
      </c>
      <c r="C22" s="3">
        <v>50</v>
      </c>
      <c r="D22" s="3" t="s">
        <v>366</v>
      </c>
      <c r="E22" s="3" t="s">
        <v>42</v>
      </c>
      <c r="F22" s="3">
        <v>12000</v>
      </c>
      <c r="G22" s="3" t="s">
        <v>89</v>
      </c>
      <c r="H22" s="3" t="s">
        <v>55</v>
      </c>
      <c r="I22" s="3" t="s">
        <v>43</v>
      </c>
      <c r="J22" s="3" t="s">
        <v>43</v>
      </c>
      <c r="K22" s="3" t="s">
        <v>43</v>
      </c>
      <c r="L22" s="3" t="s">
        <v>42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42</v>
      </c>
      <c r="R22" s="3" t="s">
        <v>43</v>
      </c>
      <c r="S22" s="3" t="s">
        <v>43</v>
      </c>
      <c r="T22" s="7">
        <f>IF($G22="Москва",1.3*(IF(IF(I22="Да",1,0)=1,1.4*Лист2!AX$1,Лист2!AX$1)),(IF(IF(I22="Да",1,0)=1,1.4*Лист2!AX$1,Лист2!AX$1)))</f>
        <v>218.07692307692307</v>
      </c>
      <c r="U22" s="7">
        <f>IF($G22="Москва",1.3*(IF(IF(J22="Да",1,0)=1,1.4*Лист2!AY$1,Лист2!AY$1)),(IF(IF(J22="Да",1,0)=1,1.4*Лист2!AY$1,Лист2!AY$1)))</f>
        <v>192.30769230769232</v>
      </c>
      <c r="V22" s="7">
        <f>IF($G22="Москва",1.3*(IF(IF(K22="Да",1,0)=1,1.4*Лист2!AZ$1,Лист2!AZ$1)),(IF(IF(K22="Да",1,0)=1,1.4*Лист2!AZ$1,Лист2!AZ$1)))</f>
        <v>657.69230769230774</v>
      </c>
      <c r="W22" s="7">
        <f>IF($G22="Москва",1.3*(IF(IF(L22="Да",1,0)=1,1.4*Лист2!BA$1,Лист2!BA$1)),(IF(IF(L22="Да",1,0)=1,1.4*Лист2!BA$1,Лист2!BA$1)))</f>
        <v>323.07692307692304</v>
      </c>
      <c r="X22" s="7">
        <f>IF($G22="Москва",1.3*(IF(IF(M22="Да",1,0)=1,1.4*Лист2!BB$1,Лист2!BB$1)),(IF(IF(M22="Да",1,0)=1,1.4*Лист2!BB$1,Лист2!BB$1)))</f>
        <v>35.384615384615387</v>
      </c>
      <c r="Y22" s="7">
        <f>IF($G22="Москва",1.3*(IF(IF(N22="Да",1,0)=1,1.4*Лист2!BC$1,Лист2!BC$1)),(IF(IF(N22="Да",1,0)=1,1.4*Лист2!BC$1,Лист2!BC$1)))</f>
        <v>669.23076923076928</v>
      </c>
      <c r="Z22" s="7">
        <f>IF($G22="Москва",1.3*(IF(IF(O22="Да",1,0)=1,1.4*Лист2!BD$1,Лист2!BD$1)),(IF(IF(O22="Да",1,0)=1,1.4*Лист2!BD$1,Лист2!BD$1)))</f>
        <v>242.30769230769229</v>
      </c>
      <c r="AA22" s="7">
        <f>IF($G22="Москва",1.3*(IF(IF(P22="Да",1,0)=1,1.4*Лист2!BE$1,Лист2!BE$1)),(IF(IF(P22="Да",1,0)=1,1.4*Лист2!BE$1,Лист2!BE$1)))</f>
        <v>557.69230769230762</v>
      </c>
      <c r="AB22" s="7">
        <f>IF($G22="Москва",1.3*(IF(IF(Q22="Да",1,0)=1,1.4*Лист2!BF$1,Лист2!BF$1)),(IF(IF(Q22="Да",1,0)=1,1.4*Лист2!BF$1,Лист2!BF$1)))</f>
        <v>67.84615384615384</v>
      </c>
      <c r="AC22" s="7">
        <f>IF($G22="Москва",1.3*(IF(IF(R22="Да",1,0)=1,1.4*Лист2!BG$1,Лист2!BG$1)),(IF(IF(R22="Да",1,0)=1,1.4*Лист2!BG$1,Лист2!BG$1)))</f>
        <v>29.615384615384617</v>
      </c>
      <c r="AD22" s="7">
        <f>IF($G22="Москва",1.3*(IF(IF(S22="Да",1,0)=1,1.4*Лист2!BH$1,Лист2!BH$1)),(IF(IF(S22="Да",1,0)=1,1.4*Лист2!BH$1,Лист2!BH$1)))</f>
        <v>120.19230769230769</v>
      </c>
      <c r="AE22" s="9">
        <f>SUM(T22:AD22)</f>
        <v>3113.4230769230771</v>
      </c>
      <c r="AF22">
        <f>AE22*4.2</f>
        <v>13076.376923076925</v>
      </c>
      <c r="AG22">
        <f t="shared" si="0"/>
        <v>26152.75384615385</v>
      </c>
      <c r="AH22">
        <f>IF(IF(G22="Москва",1,0)=1,Лист2!$BK$6,Лист2!$BL$6)</f>
        <v>9230</v>
      </c>
      <c r="AI22">
        <f>AH22-AF22</f>
        <v>-3846.3769230769249</v>
      </c>
      <c r="AJ22">
        <f>(H22-AE22)*4.2</f>
        <v>7923.623076923076</v>
      </c>
    </row>
    <row r="23" spans="1:36" ht="28.8" x14ac:dyDescent="0.3">
      <c r="A23" s="3" t="s">
        <v>90</v>
      </c>
      <c r="B23" s="3" t="s">
        <v>31</v>
      </c>
      <c r="C23" s="3">
        <v>20</v>
      </c>
      <c r="D23" s="3" t="s">
        <v>363</v>
      </c>
      <c r="E23" s="3" t="s">
        <v>42</v>
      </c>
      <c r="F23" s="3">
        <v>30000</v>
      </c>
      <c r="G23" s="3" t="s">
        <v>127</v>
      </c>
      <c r="H23" s="3" t="s">
        <v>91</v>
      </c>
      <c r="I23" s="3" t="s">
        <v>43</v>
      </c>
      <c r="J23" s="3" t="s">
        <v>43</v>
      </c>
      <c r="K23" s="3" t="s">
        <v>42</v>
      </c>
      <c r="L23" s="3" t="s">
        <v>42</v>
      </c>
      <c r="M23" s="3" t="s">
        <v>43</v>
      </c>
      <c r="N23" s="3" t="s">
        <v>42</v>
      </c>
      <c r="O23" s="3" t="s">
        <v>43</v>
      </c>
      <c r="P23" s="3" t="s">
        <v>43</v>
      </c>
      <c r="Q23" s="3" t="s">
        <v>42</v>
      </c>
      <c r="R23" s="3" t="s">
        <v>43</v>
      </c>
      <c r="S23" s="3" t="s">
        <v>42</v>
      </c>
      <c r="T23" s="7">
        <f>IF($G23="Москва",1.3*(IF(IF(I23="Да",1,0)=1,1.4*Лист2!AX$1,Лист2!AX$1)),(IF(IF(I23="Да",1,0)=1,1.4*Лист2!AX$1,Лист2!AX$1)))</f>
        <v>283.5</v>
      </c>
      <c r="U23" s="7">
        <f>IF($G23="Москва",1.3*(IF(IF(J23="Да",1,0)=1,1.4*Лист2!AY$1,Лист2!AY$1)),(IF(IF(J23="Да",1,0)=1,1.4*Лист2!AY$1,Лист2!AY$1)))</f>
        <v>250.00000000000003</v>
      </c>
      <c r="V23" s="7">
        <f>IF($G23="Москва",1.3*(IF(IF(K23="Да",1,0)=1,1.4*Лист2!AZ$1,Лист2!AZ$1)),(IF(IF(K23="Да",1,0)=1,1.4*Лист2!AZ$1,Лист2!AZ$1)))</f>
        <v>1197</v>
      </c>
      <c r="W23" s="7">
        <f>IF($G23="Москва",1.3*(IF(IF(L23="Да",1,0)=1,1.4*Лист2!BA$1,Лист2!BA$1)),(IF(IF(L23="Да",1,0)=1,1.4*Лист2!BA$1,Лист2!BA$1)))</f>
        <v>419.99999999999994</v>
      </c>
      <c r="X23" s="7">
        <f>IF($G23="Москва",1.3*(IF(IF(M23="Да",1,0)=1,1.4*Лист2!BB$1,Лист2!BB$1)),(IF(IF(M23="Да",1,0)=1,1.4*Лист2!BB$1,Лист2!BB$1)))</f>
        <v>46.000000000000007</v>
      </c>
      <c r="Y23" s="7">
        <f>IF($G23="Москва",1.3*(IF(IF(N23="Да",1,0)=1,1.4*Лист2!BC$1,Лист2!BC$1)),(IF(IF(N23="Да",1,0)=1,1.4*Лист2!BC$1,Лист2!BC$1)))</f>
        <v>1218</v>
      </c>
      <c r="Z23" s="7">
        <f>IF($G23="Москва",1.3*(IF(IF(O23="Да",1,0)=1,1.4*Лист2!BD$1,Лист2!BD$1)),(IF(IF(O23="Да",1,0)=1,1.4*Лист2!BD$1,Лист2!BD$1)))</f>
        <v>315</v>
      </c>
      <c r="AA23" s="7">
        <f>IF($G23="Москва",1.3*(IF(IF(P23="Да",1,0)=1,1.4*Лист2!BE$1,Лист2!BE$1)),(IF(IF(P23="Да",1,0)=1,1.4*Лист2!BE$1,Лист2!BE$1)))</f>
        <v>724.99999999999989</v>
      </c>
      <c r="AB23" s="7">
        <f>IF($G23="Москва",1.3*(IF(IF(Q23="Да",1,0)=1,1.4*Лист2!BF$1,Лист2!BF$1)),(IF(IF(Q23="Да",1,0)=1,1.4*Лист2!BF$1,Лист2!BF$1)))</f>
        <v>88.199999999999989</v>
      </c>
      <c r="AC23" s="7">
        <f>IF($G23="Москва",1.3*(IF(IF(R23="Да",1,0)=1,1.4*Лист2!BG$1,Лист2!BG$1)),(IF(IF(R23="Да",1,0)=1,1.4*Лист2!BG$1,Лист2!BG$1)))</f>
        <v>38.5</v>
      </c>
      <c r="AD23" s="7">
        <f>IF($G23="Москва",1.3*(IF(IF(S23="Да",1,0)=1,1.4*Лист2!BH$1,Лист2!BH$1)),(IF(IF(S23="Да",1,0)=1,1.4*Лист2!BH$1,Лист2!BH$1)))</f>
        <v>218.75</v>
      </c>
      <c r="AE23" s="9">
        <f>SUM(T23:AD23)</f>
        <v>4799.95</v>
      </c>
      <c r="AF23">
        <f>AE23*4.2</f>
        <v>20159.79</v>
      </c>
      <c r="AG23">
        <f t="shared" si="0"/>
        <v>40319.58</v>
      </c>
      <c r="AH23">
        <f>IF(IF(G23="Москва",1,0)=1,Лист2!$BK$6,Лист2!$BL$6)</f>
        <v>13651</v>
      </c>
      <c r="AI23">
        <f>AH23-AF23</f>
        <v>-6508.7900000000009</v>
      </c>
      <c r="AJ23">
        <f>(H23-AE23)*4.2</f>
        <v>21840.210000000003</v>
      </c>
    </row>
    <row r="24" spans="1:36" ht="28.8" x14ac:dyDescent="0.3">
      <c r="A24" s="3" t="s">
        <v>92</v>
      </c>
      <c r="B24" s="3" t="s">
        <v>31</v>
      </c>
      <c r="C24" s="3">
        <v>20</v>
      </c>
      <c r="D24" s="3" t="s">
        <v>363</v>
      </c>
      <c r="E24" s="3" t="s">
        <v>43</v>
      </c>
      <c r="F24" s="3">
        <v>60000</v>
      </c>
      <c r="G24" s="3" t="s">
        <v>127</v>
      </c>
      <c r="H24" s="3" t="s">
        <v>53</v>
      </c>
      <c r="I24" s="3" t="s">
        <v>42</v>
      </c>
      <c r="J24" s="3" t="s">
        <v>43</v>
      </c>
      <c r="K24" s="3" t="s">
        <v>42</v>
      </c>
      <c r="L24" s="3" t="s">
        <v>43</v>
      </c>
      <c r="M24" s="3" t="s">
        <v>43</v>
      </c>
      <c r="N24" s="3" t="s">
        <v>42</v>
      </c>
      <c r="O24" s="3" t="s">
        <v>43</v>
      </c>
      <c r="P24" s="3" t="s">
        <v>43</v>
      </c>
      <c r="Q24" s="3" t="s">
        <v>43</v>
      </c>
      <c r="R24" s="3" t="s">
        <v>43</v>
      </c>
      <c r="S24" s="3" t="s">
        <v>42</v>
      </c>
      <c r="T24" s="7">
        <f>IF($G24="Москва",1.3*(IF(IF(I24="Да",1,0)=1,1.4*Лист2!AX$1,Лист2!AX$1)),(IF(IF(I24="Да",1,0)=1,1.4*Лист2!AX$1,Лист2!AX$1)))</f>
        <v>396.9</v>
      </c>
      <c r="U24" s="7">
        <f>IF($G24="Москва",1.3*(IF(IF(J24="Да",1,0)=1,1.4*Лист2!AY$1,Лист2!AY$1)),(IF(IF(J24="Да",1,0)=1,1.4*Лист2!AY$1,Лист2!AY$1)))</f>
        <v>250.00000000000003</v>
      </c>
      <c r="V24" s="7">
        <f>IF($G24="Москва",1.3*(IF(IF(K24="Да",1,0)=1,1.4*Лист2!AZ$1,Лист2!AZ$1)),(IF(IF(K24="Да",1,0)=1,1.4*Лист2!AZ$1,Лист2!AZ$1)))</f>
        <v>1197</v>
      </c>
      <c r="W24" s="7">
        <f>IF($G24="Москва",1.3*(IF(IF(L24="Да",1,0)=1,1.4*Лист2!BA$1,Лист2!BA$1)),(IF(IF(L24="Да",1,0)=1,1.4*Лист2!BA$1,Лист2!BA$1)))</f>
        <v>300</v>
      </c>
      <c r="X24" s="7">
        <f>IF($G24="Москва",1.3*(IF(IF(M24="Да",1,0)=1,1.4*Лист2!BB$1,Лист2!BB$1)),(IF(IF(M24="Да",1,0)=1,1.4*Лист2!BB$1,Лист2!BB$1)))</f>
        <v>46.000000000000007</v>
      </c>
      <c r="Y24" s="7">
        <f>IF($G24="Москва",1.3*(IF(IF(N24="Да",1,0)=1,1.4*Лист2!BC$1,Лист2!BC$1)),(IF(IF(N24="Да",1,0)=1,1.4*Лист2!BC$1,Лист2!BC$1)))</f>
        <v>1218</v>
      </c>
      <c r="Z24" s="7">
        <f>IF($G24="Москва",1.3*(IF(IF(O24="Да",1,0)=1,1.4*Лист2!BD$1,Лист2!BD$1)),(IF(IF(O24="Да",1,0)=1,1.4*Лист2!BD$1,Лист2!BD$1)))</f>
        <v>315</v>
      </c>
      <c r="AA24" s="7">
        <f>IF($G24="Москва",1.3*(IF(IF(P24="Да",1,0)=1,1.4*Лист2!BE$1,Лист2!BE$1)),(IF(IF(P24="Да",1,0)=1,1.4*Лист2!BE$1,Лист2!BE$1)))</f>
        <v>724.99999999999989</v>
      </c>
      <c r="AB24" s="7">
        <f>IF($G24="Москва",1.3*(IF(IF(Q24="Да",1,0)=1,1.4*Лист2!BF$1,Лист2!BF$1)),(IF(IF(Q24="Да",1,0)=1,1.4*Лист2!BF$1,Лист2!BF$1)))</f>
        <v>63</v>
      </c>
      <c r="AC24" s="7">
        <f>IF($G24="Москва",1.3*(IF(IF(R24="Да",1,0)=1,1.4*Лист2!BG$1,Лист2!BG$1)),(IF(IF(R24="Да",1,0)=1,1.4*Лист2!BG$1,Лист2!BG$1)))</f>
        <v>38.5</v>
      </c>
      <c r="AD24" s="7">
        <f>IF($G24="Москва",1.3*(IF(IF(S24="Да",1,0)=1,1.4*Лист2!BH$1,Лист2!BH$1)),(IF(IF(S24="Да",1,0)=1,1.4*Лист2!BH$1,Лист2!BH$1)))</f>
        <v>218.75</v>
      </c>
      <c r="AE24" s="9">
        <f>SUM(T24:AD24)</f>
        <v>4768.1499999999996</v>
      </c>
      <c r="AF24">
        <f>AE24*4.2</f>
        <v>20026.23</v>
      </c>
      <c r="AG24">
        <f t="shared" si="0"/>
        <v>40052.46</v>
      </c>
      <c r="AH24">
        <f>IF(IF(G24="Москва",1,0)=1,Лист2!$BK$6,Лист2!$BL$6)</f>
        <v>13651</v>
      </c>
      <c r="AI24">
        <f>AH24-AF24</f>
        <v>-6375.23</v>
      </c>
      <c r="AJ24">
        <f>(H24-AE24)*4.2</f>
        <v>-3226.2299999999987</v>
      </c>
    </row>
    <row r="25" spans="1:36" ht="28.8" x14ac:dyDescent="0.3">
      <c r="A25" s="3" t="s">
        <v>93</v>
      </c>
      <c r="B25" s="3" t="s">
        <v>45</v>
      </c>
      <c r="C25" s="3">
        <v>20</v>
      </c>
      <c r="D25" s="3" t="s">
        <v>364</v>
      </c>
      <c r="E25" s="3" t="s">
        <v>42</v>
      </c>
      <c r="F25" s="3">
        <v>60000</v>
      </c>
      <c r="G25" s="3" t="s">
        <v>127</v>
      </c>
      <c r="H25" s="3">
        <v>5000</v>
      </c>
      <c r="I25" s="3" t="s">
        <v>43</v>
      </c>
      <c r="J25" s="3" t="s">
        <v>43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42</v>
      </c>
      <c r="Q25" s="3" t="s">
        <v>42</v>
      </c>
      <c r="R25" s="3" t="s">
        <v>43</v>
      </c>
      <c r="S25" s="3" t="s">
        <v>42</v>
      </c>
      <c r="T25" s="7">
        <f>IF($G25="Москва",1.3*(IF(IF(I25="Да",1,0)=1,1.4*Лист2!AX$1,Лист2!AX$1)),(IF(IF(I25="Да",1,0)=1,1.4*Лист2!AX$1,Лист2!AX$1)))</f>
        <v>283.5</v>
      </c>
      <c r="U25" s="7">
        <f>IF($G25="Москва",1.3*(IF(IF(J25="Да",1,0)=1,1.4*Лист2!AY$1,Лист2!AY$1)),(IF(IF(J25="Да",1,0)=1,1.4*Лист2!AY$1,Лист2!AY$1)))</f>
        <v>250.00000000000003</v>
      </c>
      <c r="V25" s="7">
        <f>IF($G25="Москва",1.3*(IF(IF(K25="Да",1,0)=1,1.4*Лист2!AZ$1,Лист2!AZ$1)),(IF(IF(K25="Да",1,0)=1,1.4*Лист2!AZ$1,Лист2!AZ$1)))</f>
        <v>855.00000000000011</v>
      </c>
      <c r="W25" s="7">
        <f>IF($G25="Москва",1.3*(IF(IF(L25="Да",1,0)=1,1.4*Лист2!BA$1,Лист2!BA$1)),(IF(IF(L25="Да",1,0)=1,1.4*Лист2!BA$1,Лист2!BA$1)))</f>
        <v>300</v>
      </c>
      <c r="X25" s="7">
        <f>IF($G25="Москва",1.3*(IF(IF(M25="Да",1,0)=1,1.4*Лист2!BB$1,Лист2!BB$1)),(IF(IF(M25="Да",1,0)=1,1.4*Лист2!BB$1,Лист2!BB$1)))</f>
        <v>46.000000000000007</v>
      </c>
      <c r="Y25" s="7">
        <f>IF($G25="Москва",1.3*(IF(IF(N25="Да",1,0)=1,1.4*Лист2!BC$1,Лист2!BC$1)),(IF(IF(N25="Да",1,0)=1,1.4*Лист2!BC$1,Лист2!BC$1)))</f>
        <v>870.00000000000011</v>
      </c>
      <c r="Z25" s="7">
        <f>IF($G25="Москва",1.3*(IF(IF(O25="Да",1,0)=1,1.4*Лист2!BD$1,Лист2!BD$1)),(IF(IF(O25="Да",1,0)=1,1.4*Лист2!BD$1,Лист2!BD$1)))</f>
        <v>315</v>
      </c>
      <c r="AA25" s="7">
        <f>IF($G25="Москва",1.3*(IF(IF(P25="Да",1,0)=1,1.4*Лист2!BE$1,Лист2!BE$1)),(IF(IF(P25="Да",1,0)=1,1.4*Лист2!BE$1,Лист2!BE$1)))</f>
        <v>1014.9999999999998</v>
      </c>
      <c r="AB25" s="7">
        <f>IF($G25="Москва",1.3*(IF(IF(Q25="Да",1,0)=1,1.4*Лист2!BF$1,Лист2!BF$1)),(IF(IF(Q25="Да",1,0)=1,1.4*Лист2!BF$1,Лист2!BF$1)))</f>
        <v>88.199999999999989</v>
      </c>
      <c r="AC25" s="7">
        <f>IF($G25="Москва",1.3*(IF(IF(R25="Да",1,0)=1,1.4*Лист2!BG$1,Лист2!BG$1)),(IF(IF(R25="Да",1,0)=1,1.4*Лист2!BG$1,Лист2!BG$1)))</f>
        <v>38.5</v>
      </c>
      <c r="AD25" s="7">
        <f>IF($G25="Москва",1.3*(IF(IF(S25="Да",1,0)=1,1.4*Лист2!BH$1,Лист2!BH$1)),(IF(IF(S25="Да",1,0)=1,1.4*Лист2!BH$1,Лист2!BH$1)))</f>
        <v>218.75</v>
      </c>
      <c r="AE25" s="9">
        <f>SUM(T25:AD25)</f>
        <v>4279.95</v>
      </c>
      <c r="AF25">
        <f>AE25*4.2</f>
        <v>17975.79</v>
      </c>
      <c r="AG25">
        <f t="shared" si="0"/>
        <v>35951.58</v>
      </c>
      <c r="AH25">
        <f>IF(IF(G25="Москва",1,0)=1,Лист2!$BK$6,Лист2!$BL$6)</f>
        <v>13651</v>
      </c>
      <c r="AI25">
        <f>AH25-AF25</f>
        <v>-4324.7900000000009</v>
      </c>
      <c r="AJ25">
        <f>(H25-AE25)*4.2</f>
        <v>3024.2100000000009</v>
      </c>
    </row>
    <row r="26" spans="1:36" ht="28.8" x14ac:dyDescent="0.3">
      <c r="A26" s="3" t="s">
        <v>94</v>
      </c>
      <c r="B26" s="3" t="s">
        <v>45</v>
      </c>
      <c r="C26" s="3">
        <v>20</v>
      </c>
      <c r="D26" s="3" t="s">
        <v>363</v>
      </c>
      <c r="E26" s="3" t="s">
        <v>42</v>
      </c>
      <c r="F26" s="3">
        <v>30000</v>
      </c>
      <c r="G26" s="3" t="s">
        <v>127</v>
      </c>
      <c r="H26" s="3" t="s">
        <v>91</v>
      </c>
      <c r="I26" s="3" t="s">
        <v>43</v>
      </c>
      <c r="J26" s="3" t="s">
        <v>43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43</v>
      </c>
      <c r="S26" s="3" t="s">
        <v>43</v>
      </c>
      <c r="T26" s="7">
        <f>IF($G26="Москва",1.3*(IF(IF(I26="Да",1,0)=1,1.4*Лист2!AX$1,Лист2!AX$1)),(IF(IF(I26="Да",1,0)=1,1.4*Лист2!AX$1,Лист2!AX$1)))</f>
        <v>283.5</v>
      </c>
      <c r="U26" s="7">
        <f>IF($G26="Москва",1.3*(IF(IF(J26="Да",1,0)=1,1.4*Лист2!AY$1,Лист2!AY$1)),(IF(IF(J26="Да",1,0)=1,1.4*Лист2!AY$1,Лист2!AY$1)))</f>
        <v>250.00000000000003</v>
      </c>
      <c r="V26" s="7">
        <f>IF($G26="Москва",1.3*(IF(IF(K26="Да",1,0)=1,1.4*Лист2!AZ$1,Лист2!AZ$1)),(IF(IF(K26="Да",1,0)=1,1.4*Лист2!AZ$1,Лист2!AZ$1)))</f>
        <v>855.00000000000011</v>
      </c>
      <c r="W26" s="7">
        <f>IF($G26="Москва",1.3*(IF(IF(L26="Да",1,0)=1,1.4*Лист2!BA$1,Лист2!BA$1)),(IF(IF(L26="Да",1,0)=1,1.4*Лист2!BA$1,Лист2!BA$1)))</f>
        <v>300</v>
      </c>
      <c r="X26" s="7">
        <f>IF($G26="Москва",1.3*(IF(IF(M26="Да",1,0)=1,1.4*Лист2!BB$1,Лист2!BB$1)),(IF(IF(M26="Да",1,0)=1,1.4*Лист2!BB$1,Лист2!BB$1)))</f>
        <v>46.000000000000007</v>
      </c>
      <c r="Y26" s="7">
        <f>IF($G26="Москва",1.3*(IF(IF(N26="Да",1,0)=1,1.4*Лист2!BC$1,Лист2!BC$1)),(IF(IF(N26="Да",1,0)=1,1.4*Лист2!BC$1,Лист2!BC$1)))</f>
        <v>870.00000000000011</v>
      </c>
      <c r="Z26" s="7">
        <f>IF($G26="Москва",1.3*(IF(IF(O26="Да",1,0)=1,1.4*Лист2!BD$1,Лист2!BD$1)),(IF(IF(O26="Да",1,0)=1,1.4*Лист2!BD$1,Лист2!BD$1)))</f>
        <v>315</v>
      </c>
      <c r="AA26" s="7">
        <f>IF($G26="Москва",1.3*(IF(IF(P26="Да",1,0)=1,1.4*Лист2!BE$1,Лист2!BE$1)),(IF(IF(P26="Да",1,0)=1,1.4*Лист2!BE$1,Лист2!BE$1)))</f>
        <v>724.99999999999989</v>
      </c>
      <c r="AB26" s="7">
        <f>IF($G26="Москва",1.3*(IF(IF(Q26="Да",1,0)=1,1.4*Лист2!BF$1,Лист2!BF$1)),(IF(IF(Q26="Да",1,0)=1,1.4*Лист2!BF$1,Лист2!BF$1)))</f>
        <v>63</v>
      </c>
      <c r="AC26" s="7">
        <f>IF($G26="Москва",1.3*(IF(IF(R26="Да",1,0)=1,1.4*Лист2!BG$1,Лист2!BG$1)),(IF(IF(R26="Да",1,0)=1,1.4*Лист2!BG$1,Лист2!BG$1)))</f>
        <v>38.5</v>
      </c>
      <c r="AD26" s="7">
        <f>IF($G26="Москва",1.3*(IF(IF(S26="Да",1,0)=1,1.4*Лист2!BH$1,Лист2!BH$1)),(IF(IF(S26="Да",1,0)=1,1.4*Лист2!BH$1,Лист2!BH$1)))</f>
        <v>156.25</v>
      </c>
      <c r="AE26" s="9">
        <f>SUM(T26:AD26)</f>
        <v>3902.25</v>
      </c>
      <c r="AF26">
        <f>AE26*4.2</f>
        <v>16389.45</v>
      </c>
      <c r="AG26">
        <f t="shared" si="0"/>
        <v>32778.9</v>
      </c>
      <c r="AH26">
        <f>IF(IF(G26="Москва",1,0)=1,Лист2!$BK$6,Лист2!$BL$6)</f>
        <v>13651</v>
      </c>
      <c r="AI26">
        <f>AH26-AF26</f>
        <v>-2738.4500000000007</v>
      </c>
      <c r="AJ26">
        <f>(H26-AE26)*4.2</f>
        <v>25610.55</v>
      </c>
    </row>
    <row r="27" spans="1:36" ht="28.8" x14ac:dyDescent="0.3">
      <c r="A27" s="3" t="s">
        <v>95</v>
      </c>
      <c r="B27" s="3" t="s">
        <v>31</v>
      </c>
      <c r="C27" s="3">
        <v>20</v>
      </c>
      <c r="D27" s="3" t="s">
        <v>363</v>
      </c>
      <c r="E27" s="3" t="s">
        <v>42</v>
      </c>
      <c r="F27" s="3">
        <v>60000</v>
      </c>
      <c r="G27" s="3" t="s">
        <v>127</v>
      </c>
      <c r="H27" s="3" t="s">
        <v>73</v>
      </c>
      <c r="I27" s="3" t="s">
        <v>42</v>
      </c>
      <c r="J27" s="3" t="s">
        <v>43</v>
      </c>
      <c r="K27" s="3" t="s">
        <v>43</v>
      </c>
      <c r="L27" s="3" t="s">
        <v>42</v>
      </c>
      <c r="M27" s="3" t="s">
        <v>43</v>
      </c>
      <c r="N27" s="3" t="s">
        <v>42</v>
      </c>
      <c r="O27" s="3" t="s">
        <v>43</v>
      </c>
      <c r="P27" s="3" t="s">
        <v>43</v>
      </c>
      <c r="Q27" s="3" t="s">
        <v>42</v>
      </c>
      <c r="R27" s="3" t="s">
        <v>43</v>
      </c>
      <c r="S27" s="3" t="s">
        <v>42</v>
      </c>
      <c r="T27" s="7">
        <f>IF($G27="Москва",1.3*(IF(IF(I27="Да",1,0)=1,1.4*Лист2!AX$1,Лист2!AX$1)),(IF(IF(I27="Да",1,0)=1,1.4*Лист2!AX$1,Лист2!AX$1)))</f>
        <v>396.9</v>
      </c>
      <c r="U27" s="7">
        <f>IF($G27="Москва",1.3*(IF(IF(J27="Да",1,0)=1,1.4*Лист2!AY$1,Лист2!AY$1)),(IF(IF(J27="Да",1,0)=1,1.4*Лист2!AY$1,Лист2!AY$1)))</f>
        <v>250.00000000000003</v>
      </c>
      <c r="V27" s="7">
        <f>IF($G27="Москва",1.3*(IF(IF(K27="Да",1,0)=1,1.4*Лист2!AZ$1,Лист2!AZ$1)),(IF(IF(K27="Да",1,0)=1,1.4*Лист2!AZ$1,Лист2!AZ$1)))</f>
        <v>855.00000000000011</v>
      </c>
      <c r="W27" s="7">
        <f>IF($G27="Москва",1.3*(IF(IF(L27="Да",1,0)=1,1.4*Лист2!BA$1,Лист2!BA$1)),(IF(IF(L27="Да",1,0)=1,1.4*Лист2!BA$1,Лист2!BA$1)))</f>
        <v>419.99999999999994</v>
      </c>
      <c r="X27" s="7">
        <f>IF($G27="Москва",1.3*(IF(IF(M27="Да",1,0)=1,1.4*Лист2!BB$1,Лист2!BB$1)),(IF(IF(M27="Да",1,0)=1,1.4*Лист2!BB$1,Лист2!BB$1)))</f>
        <v>46.000000000000007</v>
      </c>
      <c r="Y27" s="7">
        <f>IF($G27="Москва",1.3*(IF(IF(N27="Да",1,0)=1,1.4*Лист2!BC$1,Лист2!BC$1)),(IF(IF(N27="Да",1,0)=1,1.4*Лист2!BC$1,Лист2!BC$1)))</f>
        <v>1218</v>
      </c>
      <c r="Z27" s="7">
        <f>IF($G27="Москва",1.3*(IF(IF(O27="Да",1,0)=1,1.4*Лист2!BD$1,Лист2!BD$1)),(IF(IF(O27="Да",1,0)=1,1.4*Лист2!BD$1,Лист2!BD$1)))</f>
        <v>315</v>
      </c>
      <c r="AA27" s="7">
        <f>IF($G27="Москва",1.3*(IF(IF(P27="Да",1,0)=1,1.4*Лист2!BE$1,Лист2!BE$1)),(IF(IF(P27="Да",1,0)=1,1.4*Лист2!BE$1,Лист2!BE$1)))</f>
        <v>724.99999999999989</v>
      </c>
      <c r="AB27" s="7">
        <f>IF($G27="Москва",1.3*(IF(IF(Q27="Да",1,0)=1,1.4*Лист2!BF$1,Лист2!BF$1)),(IF(IF(Q27="Да",1,0)=1,1.4*Лист2!BF$1,Лист2!BF$1)))</f>
        <v>88.199999999999989</v>
      </c>
      <c r="AC27" s="7">
        <f>IF($G27="Москва",1.3*(IF(IF(R27="Да",1,0)=1,1.4*Лист2!BG$1,Лист2!BG$1)),(IF(IF(R27="Да",1,0)=1,1.4*Лист2!BG$1,Лист2!BG$1)))</f>
        <v>38.5</v>
      </c>
      <c r="AD27" s="7">
        <f>IF($G27="Москва",1.3*(IF(IF(S27="Да",1,0)=1,1.4*Лист2!BH$1,Лист2!BH$1)),(IF(IF(S27="Да",1,0)=1,1.4*Лист2!BH$1,Лист2!BH$1)))</f>
        <v>218.75</v>
      </c>
      <c r="AE27" s="9">
        <f>SUM(T27:AD27)</f>
        <v>4571.3499999999995</v>
      </c>
      <c r="AF27">
        <f>AE27*4.2</f>
        <v>19199.669999999998</v>
      </c>
      <c r="AG27">
        <f t="shared" si="0"/>
        <v>38399.339999999997</v>
      </c>
      <c r="AH27">
        <f>IF(IF(G27="Москва",1,0)=1,Лист2!$BK$6,Лист2!$BL$6)</f>
        <v>13651</v>
      </c>
      <c r="AI27">
        <f>AH27-AF27</f>
        <v>-5548.6699999999983</v>
      </c>
      <c r="AJ27">
        <f>(H27-AE27)*4.2</f>
        <v>10200.330000000004</v>
      </c>
    </row>
    <row r="28" spans="1:36" ht="28.8" x14ac:dyDescent="0.3">
      <c r="A28" s="3" t="s">
        <v>96</v>
      </c>
      <c r="B28" s="3" t="s">
        <v>31</v>
      </c>
      <c r="C28" s="3">
        <v>20</v>
      </c>
      <c r="D28" s="3" t="s">
        <v>364</v>
      </c>
      <c r="E28" s="3" t="s">
        <v>42</v>
      </c>
      <c r="F28" s="3">
        <v>60000</v>
      </c>
      <c r="G28" s="3" t="s">
        <v>127</v>
      </c>
      <c r="H28" s="3" t="s">
        <v>84</v>
      </c>
      <c r="I28" s="3" t="s">
        <v>43</v>
      </c>
      <c r="J28" s="3" t="s">
        <v>43</v>
      </c>
      <c r="K28" s="3" t="s">
        <v>43</v>
      </c>
      <c r="L28" s="3" t="s">
        <v>42</v>
      </c>
      <c r="M28" s="3" t="s">
        <v>43</v>
      </c>
      <c r="N28" s="3" t="s">
        <v>42</v>
      </c>
      <c r="O28" s="3" t="s">
        <v>42</v>
      </c>
      <c r="P28" s="3" t="s">
        <v>43</v>
      </c>
      <c r="Q28" s="3" t="s">
        <v>42</v>
      </c>
      <c r="R28" s="3" t="s">
        <v>42</v>
      </c>
      <c r="S28" s="3" t="s">
        <v>43</v>
      </c>
      <c r="T28" s="7">
        <f>IF($G28="Москва",1.3*(IF(IF(I28="Да",1,0)=1,1.4*Лист2!AX$1,Лист2!AX$1)),(IF(IF(I28="Да",1,0)=1,1.4*Лист2!AX$1,Лист2!AX$1)))</f>
        <v>283.5</v>
      </c>
      <c r="U28" s="7">
        <f>IF($G28="Москва",1.3*(IF(IF(J28="Да",1,0)=1,1.4*Лист2!AY$1,Лист2!AY$1)),(IF(IF(J28="Да",1,0)=1,1.4*Лист2!AY$1,Лист2!AY$1)))</f>
        <v>250.00000000000003</v>
      </c>
      <c r="V28" s="7">
        <f>IF($G28="Москва",1.3*(IF(IF(K28="Да",1,0)=1,1.4*Лист2!AZ$1,Лист2!AZ$1)),(IF(IF(K28="Да",1,0)=1,1.4*Лист2!AZ$1,Лист2!AZ$1)))</f>
        <v>855.00000000000011</v>
      </c>
      <c r="W28" s="7">
        <f>IF($G28="Москва",1.3*(IF(IF(L28="Да",1,0)=1,1.4*Лист2!BA$1,Лист2!BA$1)),(IF(IF(L28="Да",1,0)=1,1.4*Лист2!BA$1,Лист2!BA$1)))</f>
        <v>419.99999999999994</v>
      </c>
      <c r="X28" s="7">
        <f>IF($G28="Москва",1.3*(IF(IF(M28="Да",1,0)=1,1.4*Лист2!BB$1,Лист2!BB$1)),(IF(IF(M28="Да",1,0)=1,1.4*Лист2!BB$1,Лист2!BB$1)))</f>
        <v>46.000000000000007</v>
      </c>
      <c r="Y28" s="7">
        <f>IF($G28="Москва",1.3*(IF(IF(N28="Да",1,0)=1,1.4*Лист2!BC$1,Лист2!BC$1)),(IF(IF(N28="Да",1,0)=1,1.4*Лист2!BC$1,Лист2!BC$1)))</f>
        <v>1218</v>
      </c>
      <c r="Z28" s="7">
        <f>IF($G28="Москва",1.3*(IF(IF(O28="Да",1,0)=1,1.4*Лист2!BD$1,Лист2!BD$1)),(IF(IF(O28="Да",1,0)=1,1.4*Лист2!BD$1,Лист2!BD$1)))</f>
        <v>440.99999999999994</v>
      </c>
      <c r="AA28" s="7">
        <f>IF($G28="Москва",1.3*(IF(IF(P28="Да",1,0)=1,1.4*Лист2!BE$1,Лист2!BE$1)),(IF(IF(P28="Да",1,0)=1,1.4*Лист2!BE$1,Лист2!BE$1)))</f>
        <v>724.99999999999989</v>
      </c>
      <c r="AB28" s="7">
        <f>IF($G28="Москва",1.3*(IF(IF(Q28="Да",1,0)=1,1.4*Лист2!BF$1,Лист2!BF$1)),(IF(IF(Q28="Да",1,0)=1,1.4*Лист2!BF$1,Лист2!BF$1)))</f>
        <v>88.199999999999989</v>
      </c>
      <c r="AC28" s="7">
        <f>IF($G28="Москва",1.3*(IF(IF(R28="Да",1,0)=1,1.4*Лист2!BG$1,Лист2!BG$1)),(IF(IF(R28="Да",1,0)=1,1.4*Лист2!BG$1,Лист2!BG$1)))</f>
        <v>53.9</v>
      </c>
      <c r="AD28" s="7">
        <f>IF($G28="Москва",1.3*(IF(IF(S28="Да",1,0)=1,1.4*Лист2!BH$1,Лист2!BH$1)),(IF(IF(S28="Да",1,0)=1,1.4*Лист2!BH$1,Лист2!BH$1)))</f>
        <v>156.25</v>
      </c>
      <c r="AE28" s="9">
        <f>SUM(T28:AD28)</f>
        <v>4536.8499999999995</v>
      </c>
      <c r="AF28">
        <f>AE28*4.2</f>
        <v>19054.769999999997</v>
      </c>
      <c r="AG28">
        <f t="shared" si="0"/>
        <v>38109.539999999994</v>
      </c>
      <c r="AH28">
        <f>IF(IF(G28="Москва",1,0)=1,Лист2!$BK$6,Лист2!$BL$6)</f>
        <v>13651</v>
      </c>
      <c r="AI28">
        <f>AH28-AF28</f>
        <v>-5403.7699999999968</v>
      </c>
      <c r="AJ28">
        <f>(H28-AE28)*4.2</f>
        <v>43945.23000000001</v>
      </c>
    </row>
    <row r="29" spans="1:36" ht="28.8" x14ac:dyDescent="0.3">
      <c r="A29" s="3" t="s">
        <v>97</v>
      </c>
      <c r="B29" s="3" t="s">
        <v>45</v>
      </c>
      <c r="C29" s="3">
        <v>20</v>
      </c>
      <c r="D29" s="3" t="s">
        <v>364</v>
      </c>
      <c r="E29" s="3" t="s">
        <v>43</v>
      </c>
      <c r="F29" s="3">
        <v>12000</v>
      </c>
      <c r="G29" s="3" t="s">
        <v>127</v>
      </c>
      <c r="H29" s="3" t="s">
        <v>69</v>
      </c>
      <c r="I29" s="3" t="s">
        <v>43</v>
      </c>
      <c r="J29" s="3" t="s">
        <v>43</v>
      </c>
      <c r="K29" s="3" t="s">
        <v>42</v>
      </c>
      <c r="L29" s="3" t="s">
        <v>43</v>
      </c>
      <c r="M29" s="3" t="s">
        <v>43</v>
      </c>
      <c r="N29" s="3" t="s">
        <v>42</v>
      </c>
      <c r="O29" s="3" t="s">
        <v>43</v>
      </c>
      <c r="P29" s="3" t="s">
        <v>42</v>
      </c>
      <c r="Q29" s="3" t="s">
        <v>42</v>
      </c>
      <c r="R29" s="3" t="s">
        <v>43</v>
      </c>
      <c r="S29" s="3" t="s">
        <v>43</v>
      </c>
      <c r="T29" s="7">
        <f>IF($G29="Москва",1.3*(IF(IF(I29="Да",1,0)=1,1.4*Лист2!AX$1,Лист2!AX$1)),(IF(IF(I29="Да",1,0)=1,1.4*Лист2!AX$1,Лист2!AX$1)))</f>
        <v>283.5</v>
      </c>
      <c r="U29" s="7">
        <f>IF($G29="Москва",1.3*(IF(IF(J29="Да",1,0)=1,1.4*Лист2!AY$1,Лист2!AY$1)),(IF(IF(J29="Да",1,0)=1,1.4*Лист2!AY$1,Лист2!AY$1)))</f>
        <v>250.00000000000003</v>
      </c>
      <c r="V29" s="7">
        <f>IF($G29="Москва",1.3*(IF(IF(K29="Да",1,0)=1,1.4*Лист2!AZ$1,Лист2!AZ$1)),(IF(IF(K29="Да",1,0)=1,1.4*Лист2!AZ$1,Лист2!AZ$1)))</f>
        <v>1197</v>
      </c>
      <c r="W29" s="7">
        <f>IF($G29="Москва",1.3*(IF(IF(L29="Да",1,0)=1,1.4*Лист2!BA$1,Лист2!BA$1)),(IF(IF(L29="Да",1,0)=1,1.4*Лист2!BA$1,Лист2!BA$1)))</f>
        <v>300</v>
      </c>
      <c r="X29" s="7">
        <f>IF($G29="Москва",1.3*(IF(IF(M29="Да",1,0)=1,1.4*Лист2!BB$1,Лист2!BB$1)),(IF(IF(M29="Да",1,0)=1,1.4*Лист2!BB$1,Лист2!BB$1)))</f>
        <v>46.000000000000007</v>
      </c>
      <c r="Y29" s="7">
        <f>IF($G29="Москва",1.3*(IF(IF(N29="Да",1,0)=1,1.4*Лист2!BC$1,Лист2!BC$1)),(IF(IF(N29="Да",1,0)=1,1.4*Лист2!BC$1,Лист2!BC$1)))</f>
        <v>1218</v>
      </c>
      <c r="Z29" s="7">
        <f>IF($G29="Москва",1.3*(IF(IF(O29="Да",1,0)=1,1.4*Лист2!BD$1,Лист2!BD$1)),(IF(IF(O29="Да",1,0)=1,1.4*Лист2!BD$1,Лист2!BD$1)))</f>
        <v>315</v>
      </c>
      <c r="AA29" s="7">
        <f>IF($G29="Москва",1.3*(IF(IF(P29="Да",1,0)=1,1.4*Лист2!BE$1,Лист2!BE$1)),(IF(IF(P29="Да",1,0)=1,1.4*Лист2!BE$1,Лист2!BE$1)))</f>
        <v>1014.9999999999998</v>
      </c>
      <c r="AB29" s="7">
        <f>IF($G29="Москва",1.3*(IF(IF(Q29="Да",1,0)=1,1.4*Лист2!BF$1,Лист2!BF$1)),(IF(IF(Q29="Да",1,0)=1,1.4*Лист2!BF$1,Лист2!BF$1)))</f>
        <v>88.199999999999989</v>
      </c>
      <c r="AC29" s="7">
        <f>IF($G29="Москва",1.3*(IF(IF(R29="Да",1,0)=1,1.4*Лист2!BG$1,Лист2!BG$1)),(IF(IF(R29="Да",1,0)=1,1.4*Лист2!BG$1,Лист2!BG$1)))</f>
        <v>38.5</v>
      </c>
      <c r="AD29" s="7">
        <f>IF($G29="Москва",1.3*(IF(IF(S29="Да",1,0)=1,1.4*Лист2!BH$1,Лист2!BH$1)),(IF(IF(S29="Да",1,0)=1,1.4*Лист2!BH$1,Лист2!BH$1)))</f>
        <v>156.25</v>
      </c>
      <c r="AE29" s="9">
        <f>SUM(T29:AD29)</f>
        <v>4907.45</v>
      </c>
      <c r="AF29">
        <f>AE29*4.2</f>
        <v>20611.29</v>
      </c>
      <c r="AG29">
        <f t="shared" si="0"/>
        <v>41222.58</v>
      </c>
      <c r="AH29">
        <f>IF(IF(G29="Москва",1,0)=1,Лист2!$BK$6,Лист2!$BL$6)</f>
        <v>13651</v>
      </c>
      <c r="AI29">
        <f>AH29-AF29</f>
        <v>-6960.2900000000009</v>
      </c>
      <c r="AJ29">
        <f>(H29-AE29)*4.2</f>
        <v>63388.71</v>
      </c>
    </row>
    <row r="30" spans="1:36" ht="72" x14ac:dyDescent="0.3">
      <c r="A30" s="3" t="s">
        <v>98</v>
      </c>
      <c r="B30" s="3" t="s">
        <v>45</v>
      </c>
      <c r="C30" s="3">
        <v>20</v>
      </c>
      <c r="D30" s="3" t="s">
        <v>365</v>
      </c>
      <c r="E30" s="3" t="s">
        <v>43</v>
      </c>
      <c r="F30" s="3">
        <v>12000</v>
      </c>
      <c r="G30" s="3" t="s">
        <v>71</v>
      </c>
      <c r="H30" s="3" t="s">
        <v>69</v>
      </c>
      <c r="I30" s="3" t="s">
        <v>43</v>
      </c>
      <c r="J30" s="3" t="s">
        <v>42</v>
      </c>
      <c r="K30" s="3" t="s">
        <v>43</v>
      </c>
      <c r="L30" s="3" t="s">
        <v>42</v>
      </c>
      <c r="M30" s="3" t="s">
        <v>43</v>
      </c>
      <c r="N30" s="3" t="s">
        <v>42</v>
      </c>
      <c r="O30" s="3" t="s">
        <v>43</v>
      </c>
      <c r="P30" s="3" t="s">
        <v>42</v>
      </c>
      <c r="Q30" s="3" t="s">
        <v>42</v>
      </c>
      <c r="R30" s="3" t="s">
        <v>42</v>
      </c>
      <c r="S30" s="3" t="s">
        <v>43</v>
      </c>
      <c r="T30" s="7">
        <f>IF($G30="Москва",1.3*(IF(IF(I30="Да",1,0)=1,1.4*Лист2!AX$1,Лист2!AX$1)),(IF(IF(I30="Да",1,0)=1,1.4*Лист2!AX$1,Лист2!AX$1)))</f>
        <v>218.07692307692307</v>
      </c>
      <c r="U30" s="7">
        <f>IF($G30="Москва",1.3*(IF(IF(J30="Да",1,0)=1,1.4*Лист2!AY$1,Лист2!AY$1)),(IF(IF(J30="Да",1,0)=1,1.4*Лист2!AY$1,Лист2!AY$1)))</f>
        <v>269.23076923076923</v>
      </c>
      <c r="V30" s="7">
        <f>IF($G30="Москва",1.3*(IF(IF(K30="Да",1,0)=1,1.4*Лист2!AZ$1,Лист2!AZ$1)),(IF(IF(K30="Да",1,0)=1,1.4*Лист2!AZ$1,Лист2!AZ$1)))</f>
        <v>657.69230769230774</v>
      </c>
      <c r="W30" s="7">
        <f>IF($G30="Москва",1.3*(IF(IF(L30="Да",1,0)=1,1.4*Лист2!BA$1,Лист2!BA$1)),(IF(IF(L30="Да",1,0)=1,1.4*Лист2!BA$1,Лист2!BA$1)))</f>
        <v>323.07692307692304</v>
      </c>
      <c r="X30" s="7">
        <f>IF($G30="Москва",1.3*(IF(IF(M30="Да",1,0)=1,1.4*Лист2!BB$1,Лист2!BB$1)),(IF(IF(M30="Да",1,0)=1,1.4*Лист2!BB$1,Лист2!BB$1)))</f>
        <v>35.384615384615387</v>
      </c>
      <c r="Y30" s="7">
        <f>IF($G30="Москва",1.3*(IF(IF(N30="Да",1,0)=1,1.4*Лист2!BC$1,Лист2!BC$1)),(IF(IF(N30="Да",1,0)=1,1.4*Лист2!BC$1,Лист2!BC$1)))</f>
        <v>936.92307692307691</v>
      </c>
      <c r="Z30" s="7">
        <f>IF($G30="Москва",1.3*(IF(IF(O30="Да",1,0)=1,1.4*Лист2!BD$1,Лист2!BD$1)),(IF(IF(O30="Да",1,0)=1,1.4*Лист2!BD$1,Лист2!BD$1)))</f>
        <v>242.30769230769229</v>
      </c>
      <c r="AA30" s="7">
        <f>IF($G30="Москва",1.3*(IF(IF(P30="Да",1,0)=1,1.4*Лист2!BE$1,Лист2!BE$1)),(IF(IF(P30="Да",1,0)=1,1.4*Лист2!BE$1,Лист2!BE$1)))</f>
        <v>780.7692307692306</v>
      </c>
      <c r="AB30" s="7">
        <f>IF($G30="Москва",1.3*(IF(IF(Q30="Да",1,0)=1,1.4*Лист2!BF$1,Лист2!BF$1)),(IF(IF(Q30="Да",1,0)=1,1.4*Лист2!BF$1,Лист2!BF$1)))</f>
        <v>67.84615384615384</v>
      </c>
      <c r="AC30" s="7">
        <f>IF($G30="Москва",1.3*(IF(IF(R30="Да",1,0)=1,1.4*Лист2!BG$1,Лист2!BG$1)),(IF(IF(R30="Да",1,0)=1,1.4*Лист2!BG$1,Лист2!BG$1)))</f>
        <v>41.46153846153846</v>
      </c>
      <c r="AD30" s="7">
        <f>IF($G30="Москва",1.3*(IF(IF(S30="Да",1,0)=1,1.4*Лист2!BH$1,Лист2!BH$1)),(IF(IF(S30="Да",1,0)=1,1.4*Лист2!BH$1,Лист2!BH$1)))</f>
        <v>120.19230769230769</v>
      </c>
      <c r="AE30" s="9">
        <f>SUM(T30:AD30)</f>
        <v>3692.9615384615381</v>
      </c>
      <c r="AF30">
        <f>AE30*4.2</f>
        <v>15510.438461538461</v>
      </c>
      <c r="AG30">
        <f t="shared" si="0"/>
        <v>31020.876923076921</v>
      </c>
      <c r="AH30">
        <f>IF(IF(G30="Москва",1,0)=1,Лист2!$BK$6,Лист2!$BL$6)</f>
        <v>9230</v>
      </c>
      <c r="AI30">
        <f>AH30-AF30</f>
        <v>-6280.4384615384606</v>
      </c>
      <c r="AJ30">
        <f>(H30-AE30)*4.2</f>
        <v>68489.561538461538</v>
      </c>
    </row>
    <row r="31" spans="1:36" ht="28.8" x14ac:dyDescent="0.3">
      <c r="A31" s="3" t="s">
        <v>99</v>
      </c>
      <c r="B31" s="3" t="s">
        <v>45</v>
      </c>
      <c r="C31" s="3">
        <v>20</v>
      </c>
      <c r="D31" s="3" t="s">
        <v>364</v>
      </c>
      <c r="E31" s="3" t="s">
        <v>42</v>
      </c>
      <c r="F31" s="3">
        <v>60000</v>
      </c>
      <c r="G31" s="3" t="s">
        <v>127</v>
      </c>
      <c r="H31" s="3" t="s">
        <v>100</v>
      </c>
      <c r="I31" s="3" t="s">
        <v>43</v>
      </c>
      <c r="J31" s="3" t="s">
        <v>43</v>
      </c>
      <c r="K31" s="3" t="s">
        <v>43</v>
      </c>
      <c r="L31" s="3" t="s">
        <v>42</v>
      </c>
      <c r="M31" s="3" t="s">
        <v>43</v>
      </c>
      <c r="N31" s="3" t="s">
        <v>43</v>
      </c>
      <c r="O31" s="3" t="s">
        <v>43</v>
      </c>
      <c r="P31" s="3" t="s">
        <v>42</v>
      </c>
      <c r="Q31" s="3" t="s">
        <v>42</v>
      </c>
      <c r="R31" s="3" t="s">
        <v>43</v>
      </c>
      <c r="S31" s="3" t="s">
        <v>43</v>
      </c>
      <c r="T31" s="7">
        <f>IF($G31="Москва",1.3*(IF(IF(I31="Да",1,0)=1,1.4*Лист2!AX$1,Лист2!AX$1)),(IF(IF(I31="Да",1,0)=1,1.4*Лист2!AX$1,Лист2!AX$1)))</f>
        <v>283.5</v>
      </c>
      <c r="U31" s="7">
        <f>IF($G31="Москва",1.3*(IF(IF(J31="Да",1,0)=1,1.4*Лист2!AY$1,Лист2!AY$1)),(IF(IF(J31="Да",1,0)=1,1.4*Лист2!AY$1,Лист2!AY$1)))</f>
        <v>250.00000000000003</v>
      </c>
      <c r="V31" s="7">
        <f>IF($G31="Москва",1.3*(IF(IF(K31="Да",1,0)=1,1.4*Лист2!AZ$1,Лист2!AZ$1)),(IF(IF(K31="Да",1,0)=1,1.4*Лист2!AZ$1,Лист2!AZ$1)))</f>
        <v>855.00000000000011</v>
      </c>
      <c r="W31" s="7">
        <f>IF($G31="Москва",1.3*(IF(IF(L31="Да",1,0)=1,1.4*Лист2!BA$1,Лист2!BA$1)),(IF(IF(L31="Да",1,0)=1,1.4*Лист2!BA$1,Лист2!BA$1)))</f>
        <v>419.99999999999994</v>
      </c>
      <c r="X31" s="7">
        <f>IF($G31="Москва",1.3*(IF(IF(M31="Да",1,0)=1,1.4*Лист2!BB$1,Лист2!BB$1)),(IF(IF(M31="Да",1,0)=1,1.4*Лист2!BB$1,Лист2!BB$1)))</f>
        <v>46.000000000000007</v>
      </c>
      <c r="Y31" s="7">
        <f>IF($G31="Москва",1.3*(IF(IF(N31="Да",1,0)=1,1.4*Лист2!BC$1,Лист2!BC$1)),(IF(IF(N31="Да",1,0)=1,1.4*Лист2!BC$1,Лист2!BC$1)))</f>
        <v>870.00000000000011</v>
      </c>
      <c r="Z31" s="7">
        <f>IF($G31="Москва",1.3*(IF(IF(O31="Да",1,0)=1,1.4*Лист2!BD$1,Лист2!BD$1)),(IF(IF(O31="Да",1,0)=1,1.4*Лист2!BD$1,Лист2!BD$1)))</f>
        <v>315</v>
      </c>
      <c r="AA31" s="7">
        <f>IF($G31="Москва",1.3*(IF(IF(P31="Да",1,0)=1,1.4*Лист2!BE$1,Лист2!BE$1)),(IF(IF(P31="Да",1,0)=1,1.4*Лист2!BE$1,Лист2!BE$1)))</f>
        <v>1014.9999999999998</v>
      </c>
      <c r="AB31" s="7">
        <f>IF($G31="Москва",1.3*(IF(IF(Q31="Да",1,0)=1,1.4*Лист2!BF$1,Лист2!BF$1)),(IF(IF(Q31="Да",1,0)=1,1.4*Лист2!BF$1,Лист2!BF$1)))</f>
        <v>88.199999999999989</v>
      </c>
      <c r="AC31" s="7">
        <f>IF($G31="Москва",1.3*(IF(IF(R31="Да",1,0)=1,1.4*Лист2!BG$1,Лист2!BG$1)),(IF(IF(R31="Да",1,0)=1,1.4*Лист2!BG$1,Лист2!BG$1)))</f>
        <v>38.5</v>
      </c>
      <c r="AD31" s="7">
        <f>IF($G31="Москва",1.3*(IF(IF(S31="Да",1,0)=1,1.4*Лист2!BH$1,Лист2!BH$1)),(IF(IF(S31="Да",1,0)=1,1.4*Лист2!BH$1,Лист2!BH$1)))</f>
        <v>156.25</v>
      </c>
      <c r="AE31" s="9">
        <f>SUM(T31:AD31)</f>
        <v>4337.45</v>
      </c>
      <c r="AF31">
        <f>AE31*4.2</f>
        <v>18217.29</v>
      </c>
      <c r="AG31">
        <f t="shared" si="0"/>
        <v>36434.58</v>
      </c>
      <c r="AH31">
        <f>IF(IF(G31="Москва",1,0)=1,Лист2!$BK$6,Лист2!$BL$6)</f>
        <v>13651</v>
      </c>
      <c r="AI31">
        <f>AH31-AF31</f>
        <v>-4566.2900000000009</v>
      </c>
      <c r="AJ31">
        <f>(H31-AE31)*4.2</f>
        <v>-14017.289999999999</v>
      </c>
    </row>
    <row r="32" spans="1:36" ht="86.4" x14ac:dyDescent="0.3">
      <c r="A32" s="3" t="s">
        <v>101</v>
      </c>
      <c r="B32" s="3" t="s">
        <v>45</v>
      </c>
      <c r="C32" s="3">
        <v>20</v>
      </c>
      <c r="D32" s="3" t="s">
        <v>364</v>
      </c>
      <c r="E32" s="3" t="s">
        <v>43</v>
      </c>
      <c r="F32" s="3">
        <v>12000</v>
      </c>
      <c r="G32" s="3" t="s">
        <v>102</v>
      </c>
      <c r="H32" s="3" t="s">
        <v>103</v>
      </c>
      <c r="I32" s="3" t="s">
        <v>42</v>
      </c>
      <c r="J32" s="3" t="s">
        <v>43</v>
      </c>
      <c r="K32" s="3" t="s">
        <v>43</v>
      </c>
      <c r="L32" s="3" t="s">
        <v>43</v>
      </c>
      <c r="M32" s="3" t="s">
        <v>42</v>
      </c>
      <c r="N32" s="3" t="s">
        <v>42</v>
      </c>
      <c r="O32" s="3" t="s">
        <v>43</v>
      </c>
      <c r="P32" s="3" t="s">
        <v>43</v>
      </c>
      <c r="Q32" s="3" t="s">
        <v>42</v>
      </c>
      <c r="R32" s="3" t="s">
        <v>42</v>
      </c>
      <c r="S32" s="3" t="s">
        <v>42</v>
      </c>
      <c r="T32" s="7">
        <f>IF($G32="Москва",1.3*(IF(IF(I32="Да",1,0)=1,1.4*Лист2!AX$1,Лист2!AX$1)),(IF(IF(I32="Да",1,0)=1,1.4*Лист2!AX$1,Лист2!AX$1)))</f>
        <v>305.30769230769226</v>
      </c>
      <c r="U32" s="7">
        <f>IF($G32="Москва",1.3*(IF(IF(J32="Да",1,0)=1,1.4*Лист2!AY$1,Лист2!AY$1)),(IF(IF(J32="Да",1,0)=1,1.4*Лист2!AY$1,Лист2!AY$1)))</f>
        <v>192.30769230769232</v>
      </c>
      <c r="V32" s="7">
        <f>IF($G32="Москва",1.3*(IF(IF(K32="Да",1,0)=1,1.4*Лист2!AZ$1,Лист2!AZ$1)),(IF(IF(K32="Да",1,0)=1,1.4*Лист2!AZ$1,Лист2!AZ$1)))</f>
        <v>657.69230769230774</v>
      </c>
      <c r="W32" s="7">
        <f>IF($G32="Москва",1.3*(IF(IF(L32="Да",1,0)=1,1.4*Лист2!BA$1,Лист2!BA$1)),(IF(IF(L32="Да",1,0)=1,1.4*Лист2!BA$1,Лист2!BA$1)))</f>
        <v>230.76923076923075</v>
      </c>
      <c r="X32" s="7">
        <f>IF($G32="Москва",1.3*(IF(IF(M32="Да",1,0)=1,1.4*Лист2!BB$1,Лист2!BB$1)),(IF(IF(M32="Да",1,0)=1,1.4*Лист2!BB$1,Лист2!BB$1)))</f>
        <v>49.53846153846154</v>
      </c>
      <c r="Y32" s="7">
        <f>IF($G32="Москва",1.3*(IF(IF(N32="Да",1,0)=1,1.4*Лист2!BC$1,Лист2!BC$1)),(IF(IF(N32="Да",1,0)=1,1.4*Лист2!BC$1,Лист2!BC$1)))</f>
        <v>936.92307692307691</v>
      </c>
      <c r="Z32" s="7">
        <f>IF($G32="Москва",1.3*(IF(IF(O32="Да",1,0)=1,1.4*Лист2!BD$1,Лист2!BD$1)),(IF(IF(O32="Да",1,0)=1,1.4*Лист2!BD$1,Лист2!BD$1)))</f>
        <v>242.30769230769229</v>
      </c>
      <c r="AA32" s="7">
        <f>IF($G32="Москва",1.3*(IF(IF(P32="Да",1,0)=1,1.4*Лист2!BE$1,Лист2!BE$1)),(IF(IF(P32="Да",1,0)=1,1.4*Лист2!BE$1,Лист2!BE$1)))</f>
        <v>557.69230769230762</v>
      </c>
      <c r="AB32" s="7">
        <f>IF($G32="Москва",1.3*(IF(IF(Q32="Да",1,0)=1,1.4*Лист2!BF$1,Лист2!BF$1)),(IF(IF(Q32="Да",1,0)=1,1.4*Лист2!BF$1,Лист2!BF$1)))</f>
        <v>67.84615384615384</v>
      </c>
      <c r="AC32" s="7">
        <f>IF($G32="Москва",1.3*(IF(IF(R32="Да",1,0)=1,1.4*Лист2!BG$1,Лист2!BG$1)),(IF(IF(R32="Да",1,0)=1,1.4*Лист2!BG$1,Лист2!BG$1)))</f>
        <v>41.46153846153846</v>
      </c>
      <c r="AD32" s="7">
        <f>IF($G32="Москва",1.3*(IF(IF(S32="Да",1,0)=1,1.4*Лист2!BH$1,Лист2!BH$1)),(IF(IF(S32="Да",1,0)=1,1.4*Лист2!BH$1,Лист2!BH$1)))</f>
        <v>168.26923076923077</v>
      </c>
      <c r="AE32" s="9">
        <f>SUM(T32:AD32)</f>
        <v>3450.1153846153848</v>
      </c>
      <c r="AF32">
        <f>AE32*4.2</f>
        <v>14490.484615384617</v>
      </c>
      <c r="AG32">
        <f t="shared" si="0"/>
        <v>28980.969230769235</v>
      </c>
      <c r="AH32">
        <f>IF(IF(G32="Москва",1,0)=1,Лист2!$BK$6,Лист2!$BL$6)</f>
        <v>9230</v>
      </c>
      <c r="AI32">
        <f>AH32-AF32</f>
        <v>-5260.4846153846174</v>
      </c>
      <c r="AJ32">
        <f>(H32-AE32)*4.2</f>
        <v>-2827.084615384616</v>
      </c>
    </row>
    <row r="33" spans="1:56" ht="72" x14ac:dyDescent="0.3">
      <c r="A33" s="3" t="s">
        <v>104</v>
      </c>
      <c r="B33" s="3" t="s">
        <v>31</v>
      </c>
      <c r="C33" s="3">
        <v>35</v>
      </c>
      <c r="D33" s="3" t="s">
        <v>363</v>
      </c>
      <c r="E33" s="3" t="s">
        <v>42</v>
      </c>
      <c r="F33" s="3">
        <v>60000</v>
      </c>
      <c r="G33" s="3" t="s">
        <v>105</v>
      </c>
      <c r="H33" s="3" t="s">
        <v>69</v>
      </c>
      <c r="I33" s="3" t="s">
        <v>43</v>
      </c>
      <c r="J33" s="3" t="s">
        <v>43</v>
      </c>
      <c r="K33" s="3" t="s">
        <v>42</v>
      </c>
      <c r="L33" s="3" t="s">
        <v>42</v>
      </c>
      <c r="M33" s="3" t="s">
        <v>43</v>
      </c>
      <c r="N33" s="3" t="s">
        <v>42</v>
      </c>
      <c r="O33" s="3" t="s">
        <v>43</v>
      </c>
      <c r="P33" s="3" t="s">
        <v>43</v>
      </c>
      <c r="Q33" s="3" t="s">
        <v>42</v>
      </c>
      <c r="R33" s="3" t="s">
        <v>43</v>
      </c>
      <c r="S33" s="3" t="s">
        <v>43</v>
      </c>
      <c r="T33" s="7">
        <f>IF($G33="Москва",1.3*(IF(IF(I33="Да",1,0)=1,1.4*Лист2!AX$1,Лист2!AX$1)),(IF(IF(I33="Да",1,0)=1,1.4*Лист2!AX$1,Лист2!AX$1)))</f>
        <v>218.07692307692307</v>
      </c>
      <c r="U33" s="7">
        <f>IF($G33="Москва",1.3*(IF(IF(J33="Да",1,0)=1,1.4*Лист2!AY$1,Лист2!AY$1)),(IF(IF(J33="Да",1,0)=1,1.4*Лист2!AY$1,Лист2!AY$1)))</f>
        <v>192.30769230769232</v>
      </c>
      <c r="V33" s="7">
        <f>IF($G33="Москва",1.3*(IF(IF(K33="Да",1,0)=1,1.4*Лист2!AZ$1,Лист2!AZ$1)),(IF(IF(K33="Да",1,0)=1,1.4*Лист2!AZ$1,Лист2!AZ$1)))</f>
        <v>920.76923076923072</v>
      </c>
      <c r="W33" s="7">
        <f>IF($G33="Москва",1.3*(IF(IF(L33="Да",1,0)=1,1.4*Лист2!BA$1,Лист2!BA$1)),(IF(IF(L33="Да",1,0)=1,1.4*Лист2!BA$1,Лист2!BA$1)))</f>
        <v>323.07692307692304</v>
      </c>
      <c r="X33" s="7">
        <f>IF($G33="Москва",1.3*(IF(IF(M33="Да",1,0)=1,1.4*Лист2!BB$1,Лист2!BB$1)),(IF(IF(M33="Да",1,0)=1,1.4*Лист2!BB$1,Лист2!BB$1)))</f>
        <v>35.384615384615387</v>
      </c>
      <c r="Y33" s="7">
        <f>IF($G33="Москва",1.3*(IF(IF(N33="Да",1,0)=1,1.4*Лист2!BC$1,Лист2!BC$1)),(IF(IF(N33="Да",1,0)=1,1.4*Лист2!BC$1,Лист2!BC$1)))</f>
        <v>936.92307692307691</v>
      </c>
      <c r="Z33" s="7">
        <f>IF($G33="Москва",1.3*(IF(IF(O33="Да",1,0)=1,1.4*Лист2!BD$1,Лист2!BD$1)),(IF(IF(O33="Да",1,0)=1,1.4*Лист2!BD$1,Лист2!BD$1)))</f>
        <v>242.30769230769229</v>
      </c>
      <c r="AA33" s="7">
        <f>IF($G33="Москва",1.3*(IF(IF(P33="Да",1,0)=1,1.4*Лист2!BE$1,Лист2!BE$1)),(IF(IF(P33="Да",1,0)=1,1.4*Лист2!BE$1,Лист2!BE$1)))</f>
        <v>557.69230769230762</v>
      </c>
      <c r="AB33" s="7">
        <f>IF($G33="Москва",1.3*(IF(IF(Q33="Да",1,0)=1,1.4*Лист2!BF$1,Лист2!BF$1)),(IF(IF(Q33="Да",1,0)=1,1.4*Лист2!BF$1,Лист2!BF$1)))</f>
        <v>67.84615384615384</v>
      </c>
      <c r="AC33" s="7">
        <f>IF($G33="Москва",1.3*(IF(IF(R33="Да",1,0)=1,1.4*Лист2!BG$1,Лист2!BG$1)),(IF(IF(R33="Да",1,0)=1,1.4*Лист2!BG$1,Лист2!BG$1)))</f>
        <v>29.615384615384617</v>
      </c>
      <c r="AD33" s="7">
        <f>IF($G33="Москва",1.3*(IF(IF(S33="Да",1,0)=1,1.4*Лист2!BH$1,Лист2!BH$1)),(IF(IF(S33="Да",1,0)=1,1.4*Лист2!BH$1,Лист2!BH$1)))</f>
        <v>120.19230769230769</v>
      </c>
      <c r="AE33" s="9">
        <f>SUM(T33:AD33)</f>
        <v>3644.1923076923081</v>
      </c>
      <c r="AF33">
        <f>AE33*4.2</f>
        <v>15305.607692307694</v>
      </c>
      <c r="AG33">
        <f t="shared" si="0"/>
        <v>30611.215384615389</v>
      </c>
      <c r="AH33">
        <f>IF(IF(G33="Москва",1,0)=1,Лист2!$BK$6,Лист2!$BL$6)</f>
        <v>9230</v>
      </c>
      <c r="AI33">
        <f>AH33-AF33</f>
        <v>-6075.6076923076944</v>
      </c>
      <c r="AJ33">
        <f>(H33-AE33)*4.2</f>
        <v>68694.392307692309</v>
      </c>
    </row>
    <row r="34" spans="1:56" ht="43.2" x14ac:dyDescent="0.3">
      <c r="A34" s="3" t="s">
        <v>107</v>
      </c>
      <c r="B34" s="3" t="s">
        <v>31</v>
      </c>
      <c r="C34" s="3">
        <v>20</v>
      </c>
      <c r="D34" s="3" t="s">
        <v>364</v>
      </c>
      <c r="E34" s="3" t="s">
        <v>42</v>
      </c>
      <c r="F34" s="3">
        <v>30000</v>
      </c>
      <c r="G34" s="3" t="s">
        <v>76</v>
      </c>
      <c r="H34" s="3" t="s">
        <v>55</v>
      </c>
      <c r="I34" s="3" t="s">
        <v>43</v>
      </c>
      <c r="J34" s="3" t="s">
        <v>43</v>
      </c>
      <c r="K34" s="3" t="s">
        <v>42</v>
      </c>
      <c r="L34" s="3" t="s">
        <v>42</v>
      </c>
      <c r="M34" s="3" t="s">
        <v>43</v>
      </c>
      <c r="N34" s="3" t="s">
        <v>42</v>
      </c>
      <c r="O34" s="3" t="s">
        <v>42</v>
      </c>
      <c r="P34" s="3" t="s">
        <v>43</v>
      </c>
      <c r="Q34" s="3" t="s">
        <v>42</v>
      </c>
      <c r="R34" s="3" t="s">
        <v>42</v>
      </c>
      <c r="S34" s="3" t="s">
        <v>42</v>
      </c>
      <c r="T34" s="7">
        <f>IF($G34="Москва",1.3*(IF(IF(I34="Да",1,0)=1,1.4*Лист2!AX$1,Лист2!AX$1)),(IF(IF(I34="Да",1,0)=1,1.4*Лист2!AX$1,Лист2!AX$1)))</f>
        <v>218.07692307692307</v>
      </c>
      <c r="U34" s="7">
        <f>IF($G34="Москва",1.3*(IF(IF(J34="Да",1,0)=1,1.4*Лист2!AY$1,Лист2!AY$1)),(IF(IF(J34="Да",1,0)=1,1.4*Лист2!AY$1,Лист2!AY$1)))</f>
        <v>192.30769230769232</v>
      </c>
      <c r="V34" s="7">
        <f>IF($G34="Москва",1.3*(IF(IF(K34="Да",1,0)=1,1.4*Лист2!AZ$1,Лист2!AZ$1)),(IF(IF(K34="Да",1,0)=1,1.4*Лист2!AZ$1,Лист2!AZ$1)))</f>
        <v>920.76923076923072</v>
      </c>
      <c r="W34" s="7">
        <f>IF($G34="Москва",1.3*(IF(IF(L34="Да",1,0)=1,1.4*Лист2!BA$1,Лист2!BA$1)),(IF(IF(L34="Да",1,0)=1,1.4*Лист2!BA$1,Лист2!BA$1)))</f>
        <v>323.07692307692304</v>
      </c>
      <c r="X34" s="7">
        <f>IF($G34="Москва",1.3*(IF(IF(M34="Да",1,0)=1,1.4*Лист2!BB$1,Лист2!BB$1)),(IF(IF(M34="Да",1,0)=1,1.4*Лист2!BB$1,Лист2!BB$1)))</f>
        <v>35.384615384615387</v>
      </c>
      <c r="Y34" s="7">
        <f>IF($G34="Москва",1.3*(IF(IF(N34="Да",1,0)=1,1.4*Лист2!BC$1,Лист2!BC$1)),(IF(IF(N34="Да",1,0)=1,1.4*Лист2!BC$1,Лист2!BC$1)))</f>
        <v>936.92307692307691</v>
      </c>
      <c r="Z34" s="7">
        <f>IF($G34="Москва",1.3*(IF(IF(O34="Да",1,0)=1,1.4*Лист2!BD$1,Лист2!BD$1)),(IF(IF(O34="Да",1,0)=1,1.4*Лист2!BD$1,Лист2!BD$1)))</f>
        <v>339.23076923076917</v>
      </c>
      <c r="AA34" s="7">
        <f>IF($G34="Москва",1.3*(IF(IF(P34="Да",1,0)=1,1.4*Лист2!BE$1,Лист2!BE$1)),(IF(IF(P34="Да",1,0)=1,1.4*Лист2!BE$1,Лист2!BE$1)))</f>
        <v>557.69230769230762</v>
      </c>
      <c r="AB34" s="7">
        <f>IF($G34="Москва",1.3*(IF(IF(Q34="Да",1,0)=1,1.4*Лист2!BF$1,Лист2!BF$1)),(IF(IF(Q34="Да",1,0)=1,1.4*Лист2!BF$1,Лист2!BF$1)))</f>
        <v>67.84615384615384</v>
      </c>
      <c r="AC34" s="7">
        <f>IF($G34="Москва",1.3*(IF(IF(R34="Да",1,0)=1,1.4*Лист2!BG$1,Лист2!BG$1)),(IF(IF(R34="Да",1,0)=1,1.4*Лист2!BG$1,Лист2!BG$1)))</f>
        <v>41.46153846153846</v>
      </c>
      <c r="AD34" s="7">
        <f>IF($G34="Москва",1.3*(IF(IF(S34="Да",1,0)=1,1.4*Лист2!BH$1,Лист2!BH$1)),(IF(IF(S34="Да",1,0)=1,1.4*Лист2!BH$1,Лист2!BH$1)))</f>
        <v>168.26923076923077</v>
      </c>
      <c r="AE34" s="9">
        <f>SUM(T34:AD34)</f>
        <v>3801.0384615384619</v>
      </c>
      <c r="AF34">
        <f>AE34*4.2</f>
        <v>15964.36153846154</v>
      </c>
      <c r="AG34">
        <f t="shared" si="0"/>
        <v>31928.723076923081</v>
      </c>
      <c r="AH34">
        <f>IF(IF(G34="Москва",1,0)=1,Лист2!$BK$6,Лист2!$BL$6)</f>
        <v>9230</v>
      </c>
      <c r="AI34">
        <f>AH34-AF34</f>
        <v>-6734.3615384615405</v>
      </c>
      <c r="AJ34">
        <f>(H34-AE34)*4.2</f>
        <v>5035.6384615384604</v>
      </c>
    </row>
    <row r="35" spans="1:56" ht="72" x14ac:dyDescent="0.3">
      <c r="A35" s="3" t="s">
        <v>109</v>
      </c>
      <c r="B35" s="3" t="s">
        <v>31</v>
      </c>
      <c r="C35" s="3">
        <v>20</v>
      </c>
      <c r="D35" s="3" t="s">
        <v>363</v>
      </c>
      <c r="E35" s="3" t="s">
        <v>42</v>
      </c>
      <c r="F35" s="3">
        <v>60000</v>
      </c>
      <c r="G35" s="3" t="s">
        <v>71</v>
      </c>
      <c r="H35" s="3" t="s">
        <v>55</v>
      </c>
      <c r="I35" s="3" t="s">
        <v>43</v>
      </c>
      <c r="J35" s="3" t="s">
        <v>43</v>
      </c>
      <c r="K35" s="3" t="s">
        <v>42</v>
      </c>
      <c r="L35" s="3" t="s">
        <v>42</v>
      </c>
      <c r="M35" s="3" t="s">
        <v>43</v>
      </c>
      <c r="N35" s="3" t="s">
        <v>42</v>
      </c>
      <c r="O35" s="3" t="s">
        <v>42</v>
      </c>
      <c r="P35" s="3" t="s">
        <v>42</v>
      </c>
      <c r="Q35" s="3" t="s">
        <v>42</v>
      </c>
      <c r="R35" s="3" t="s">
        <v>43</v>
      </c>
      <c r="S35" s="3" t="s">
        <v>43</v>
      </c>
      <c r="T35" s="7">
        <f>IF($G35="Москва",1.3*(IF(IF(I35="Да",1,0)=1,1.4*Лист2!AX$1,Лист2!AX$1)),(IF(IF(I35="Да",1,0)=1,1.4*Лист2!AX$1,Лист2!AX$1)))</f>
        <v>218.07692307692307</v>
      </c>
      <c r="U35" s="7">
        <f>IF($G35="Москва",1.3*(IF(IF(J35="Да",1,0)=1,1.4*Лист2!AY$1,Лист2!AY$1)),(IF(IF(J35="Да",1,0)=1,1.4*Лист2!AY$1,Лист2!AY$1)))</f>
        <v>192.30769230769232</v>
      </c>
      <c r="V35" s="7">
        <f>IF($G35="Москва",1.3*(IF(IF(K35="Да",1,0)=1,1.4*Лист2!AZ$1,Лист2!AZ$1)),(IF(IF(K35="Да",1,0)=1,1.4*Лист2!AZ$1,Лист2!AZ$1)))</f>
        <v>920.76923076923072</v>
      </c>
      <c r="W35" s="7">
        <f>IF($G35="Москва",1.3*(IF(IF(L35="Да",1,0)=1,1.4*Лист2!BA$1,Лист2!BA$1)),(IF(IF(L35="Да",1,0)=1,1.4*Лист2!BA$1,Лист2!BA$1)))</f>
        <v>323.07692307692304</v>
      </c>
      <c r="X35" s="7">
        <f>IF($G35="Москва",1.3*(IF(IF(M35="Да",1,0)=1,1.4*Лист2!BB$1,Лист2!BB$1)),(IF(IF(M35="Да",1,0)=1,1.4*Лист2!BB$1,Лист2!BB$1)))</f>
        <v>35.384615384615387</v>
      </c>
      <c r="Y35" s="7">
        <f>IF($G35="Москва",1.3*(IF(IF(N35="Да",1,0)=1,1.4*Лист2!BC$1,Лист2!BC$1)),(IF(IF(N35="Да",1,0)=1,1.4*Лист2!BC$1,Лист2!BC$1)))</f>
        <v>936.92307692307691</v>
      </c>
      <c r="Z35" s="7">
        <f>IF($G35="Москва",1.3*(IF(IF(O35="Да",1,0)=1,1.4*Лист2!BD$1,Лист2!BD$1)),(IF(IF(O35="Да",1,0)=1,1.4*Лист2!BD$1,Лист2!BD$1)))</f>
        <v>339.23076923076917</v>
      </c>
      <c r="AA35" s="7">
        <f>IF($G35="Москва",1.3*(IF(IF(P35="Да",1,0)=1,1.4*Лист2!BE$1,Лист2!BE$1)),(IF(IF(P35="Да",1,0)=1,1.4*Лист2!BE$1,Лист2!BE$1)))</f>
        <v>780.7692307692306</v>
      </c>
      <c r="AB35" s="7">
        <f>IF($G35="Москва",1.3*(IF(IF(Q35="Да",1,0)=1,1.4*Лист2!BF$1,Лист2!BF$1)),(IF(IF(Q35="Да",1,0)=1,1.4*Лист2!BF$1,Лист2!BF$1)))</f>
        <v>67.84615384615384</v>
      </c>
      <c r="AC35" s="7">
        <f>IF($G35="Москва",1.3*(IF(IF(R35="Да",1,0)=1,1.4*Лист2!BG$1,Лист2!BG$1)),(IF(IF(R35="Да",1,0)=1,1.4*Лист2!BG$1,Лист2!BG$1)))</f>
        <v>29.615384615384617</v>
      </c>
      <c r="AD35" s="7">
        <f>IF($G35="Москва",1.3*(IF(IF(S35="Да",1,0)=1,1.4*Лист2!BH$1,Лист2!BH$1)),(IF(IF(S35="Да",1,0)=1,1.4*Лист2!BH$1,Лист2!BH$1)))</f>
        <v>120.19230769230769</v>
      </c>
      <c r="AE35" s="9">
        <f>SUM(T35:AD35)</f>
        <v>3964.1923076923076</v>
      </c>
      <c r="AF35">
        <f>AE35*4.2</f>
        <v>16649.607692307694</v>
      </c>
      <c r="AG35">
        <f t="shared" si="0"/>
        <v>33299.215384615389</v>
      </c>
      <c r="AH35">
        <f>IF(IF(G35="Москва",1,0)=1,Лист2!$BK$6,Лист2!$BL$6)</f>
        <v>9230</v>
      </c>
      <c r="AI35">
        <f>AH35-AF35</f>
        <v>-7419.6076923076944</v>
      </c>
      <c r="AJ35">
        <f>(H35-AE35)*4.2</f>
        <v>4350.3923076923083</v>
      </c>
    </row>
    <row r="36" spans="1:56" ht="72" x14ac:dyDescent="0.3">
      <c r="A36" s="3" t="s">
        <v>110</v>
      </c>
      <c r="B36" s="3" t="s">
        <v>31</v>
      </c>
      <c r="C36" s="3">
        <v>20</v>
      </c>
      <c r="D36" s="3" t="s">
        <v>363</v>
      </c>
      <c r="E36" s="3" t="s">
        <v>42</v>
      </c>
      <c r="F36" s="3">
        <v>12000</v>
      </c>
      <c r="G36" s="3" t="s">
        <v>71</v>
      </c>
      <c r="H36" s="3" t="s">
        <v>91</v>
      </c>
      <c r="I36" s="3" t="s">
        <v>43</v>
      </c>
      <c r="J36" s="3" t="s">
        <v>43</v>
      </c>
      <c r="K36" s="3" t="s">
        <v>42</v>
      </c>
      <c r="L36" s="3" t="s">
        <v>42</v>
      </c>
      <c r="M36" s="3" t="s">
        <v>43</v>
      </c>
      <c r="N36" s="3" t="s">
        <v>42</v>
      </c>
      <c r="O36" s="3" t="s">
        <v>42</v>
      </c>
      <c r="P36" s="3" t="s">
        <v>42</v>
      </c>
      <c r="Q36" s="3" t="s">
        <v>42</v>
      </c>
      <c r="R36" s="3" t="s">
        <v>42</v>
      </c>
      <c r="S36" s="3" t="s">
        <v>42</v>
      </c>
      <c r="T36" s="7">
        <f>IF($G36="Москва",1.3*(IF(IF(I36="Да",1,0)=1,1.4*Лист2!AX$1,Лист2!AX$1)),(IF(IF(I36="Да",1,0)=1,1.4*Лист2!AX$1,Лист2!AX$1)))</f>
        <v>218.07692307692307</v>
      </c>
      <c r="U36" s="7">
        <f>IF($G36="Москва",1.3*(IF(IF(J36="Да",1,0)=1,1.4*Лист2!AY$1,Лист2!AY$1)),(IF(IF(J36="Да",1,0)=1,1.4*Лист2!AY$1,Лист2!AY$1)))</f>
        <v>192.30769230769232</v>
      </c>
      <c r="V36" s="7">
        <f>IF($G36="Москва",1.3*(IF(IF(K36="Да",1,0)=1,1.4*Лист2!AZ$1,Лист2!AZ$1)),(IF(IF(K36="Да",1,0)=1,1.4*Лист2!AZ$1,Лист2!AZ$1)))</f>
        <v>920.76923076923072</v>
      </c>
      <c r="W36" s="7">
        <f>IF($G36="Москва",1.3*(IF(IF(L36="Да",1,0)=1,1.4*Лист2!BA$1,Лист2!BA$1)),(IF(IF(L36="Да",1,0)=1,1.4*Лист2!BA$1,Лист2!BA$1)))</f>
        <v>323.07692307692304</v>
      </c>
      <c r="X36" s="7">
        <f>IF($G36="Москва",1.3*(IF(IF(M36="Да",1,0)=1,1.4*Лист2!BB$1,Лист2!BB$1)),(IF(IF(M36="Да",1,0)=1,1.4*Лист2!BB$1,Лист2!BB$1)))</f>
        <v>35.384615384615387</v>
      </c>
      <c r="Y36" s="7">
        <f>IF($G36="Москва",1.3*(IF(IF(N36="Да",1,0)=1,1.4*Лист2!BC$1,Лист2!BC$1)),(IF(IF(N36="Да",1,0)=1,1.4*Лист2!BC$1,Лист2!BC$1)))</f>
        <v>936.92307692307691</v>
      </c>
      <c r="Z36" s="7">
        <f>IF($G36="Москва",1.3*(IF(IF(O36="Да",1,0)=1,1.4*Лист2!BD$1,Лист2!BD$1)),(IF(IF(O36="Да",1,0)=1,1.4*Лист2!BD$1,Лист2!BD$1)))</f>
        <v>339.23076923076917</v>
      </c>
      <c r="AA36" s="7">
        <f>IF($G36="Москва",1.3*(IF(IF(P36="Да",1,0)=1,1.4*Лист2!BE$1,Лист2!BE$1)),(IF(IF(P36="Да",1,0)=1,1.4*Лист2!BE$1,Лист2!BE$1)))</f>
        <v>780.7692307692306</v>
      </c>
      <c r="AB36" s="7">
        <f>IF($G36="Москва",1.3*(IF(IF(Q36="Да",1,0)=1,1.4*Лист2!BF$1,Лист2!BF$1)),(IF(IF(Q36="Да",1,0)=1,1.4*Лист2!BF$1,Лист2!BF$1)))</f>
        <v>67.84615384615384</v>
      </c>
      <c r="AC36" s="7">
        <f>IF($G36="Москва",1.3*(IF(IF(R36="Да",1,0)=1,1.4*Лист2!BG$1,Лист2!BG$1)),(IF(IF(R36="Да",1,0)=1,1.4*Лист2!BG$1,Лист2!BG$1)))</f>
        <v>41.46153846153846</v>
      </c>
      <c r="AD36" s="7">
        <f>IF($G36="Москва",1.3*(IF(IF(S36="Да",1,0)=1,1.4*Лист2!BH$1,Лист2!BH$1)),(IF(IF(S36="Да",1,0)=1,1.4*Лист2!BH$1,Лист2!BH$1)))</f>
        <v>168.26923076923077</v>
      </c>
      <c r="AE36" s="9">
        <f>SUM(T36:AD36)</f>
        <v>4024.1153846153848</v>
      </c>
      <c r="AF36">
        <f>AE36*4.2</f>
        <v>16901.284615384615</v>
      </c>
      <c r="AG36">
        <f t="shared" si="0"/>
        <v>33802.56923076923</v>
      </c>
      <c r="AH36">
        <f>IF(IF(G36="Москва",1,0)=1,Лист2!$BK$6,Лист2!$BL$6)</f>
        <v>9230</v>
      </c>
      <c r="AI36">
        <f>AH36-AF36</f>
        <v>-7671.2846153846149</v>
      </c>
      <c r="AJ36">
        <f>(H36-AE36)*4.2</f>
        <v>25098.715384615385</v>
      </c>
    </row>
    <row r="37" spans="1:56" ht="72" x14ac:dyDescent="0.3">
      <c r="A37" s="3" t="s">
        <v>111</v>
      </c>
      <c r="B37" s="3" t="s">
        <v>45</v>
      </c>
      <c r="C37" s="3">
        <v>18</v>
      </c>
      <c r="D37" s="3" t="s">
        <v>363</v>
      </c>
      <c r="E37" s="3" t="s">
        <v>43</v>
      </c>
      <c r="F37" s="3">
        <v>12000</v>
      </c>
      <c r="G37" s="3" t="s">
        <v>71</v>
      </c>
      <c r="H37" s="3" t="s">
        <v>53</v>
      </c>
      <c r="I37" s="3" t="s">
        <v>42</v>
      </c>
      <c r="J37" s="3" t="s">
        <v>43</v>
      </c>
      <c r="K37" s="3" t="s">
        <v>43</v>
      </c>
      <c r="L37" s="3" t="s">
        <v>43</v>
      </c>
      <c r="M37" s="3" t="s">
        <v>43</v>
      </c>
      <c r="N37" s="3" t="s">
        <v>42</v>
      </c>
      <c r="O37" s="3" t="s">
        <v>43</v>
      </c>
      <c r="P37" s="3" t="s">
        <v>43</v>
      </c>
      <c r="Q37" s="3" t="s">
        <v>42</v>
      </c>
      <c r="R37" s="3" t="s">
        <v>42</v>
      </c>
      <c r="S37" s="3" t="s">
        <v>42</v>
      </c>
      <c r="T37" s="7">
        <f>IF($G37="Москва",1.3*(IF(IF(I37="Да",1,0)=1,1.4*Лист2!AX$1,Лист2!AX$1)),(IF(IF(I37="Да",1,0)=1,1.4*Лист2!AX$1,Лист2!AX$1)))</f>
        <v>305.30769230769226</v>
      </c>
      <c r="U37" s="7">
        <f>IF($G37="Москва",1.3*(IF(IF(J37="Да",1,0)=1,1.4*Лист2!AY$1,Лист2!AY$1)),(IF(IF(J37="Да",1,0)=1,1.4*Лист2!AY$1,Лист2!AY$1)))</f>
        <v>192.30769230769232</v>
      </c>
      <c r="V37" s="7">
        <f>IF($G37="Москва",1.3*(IF(IF(K37="Да",1,0)=1,1.4*Лист2!AZ$1,Лист2!AZ$1)),(IF(IF(K37="Да",1,0)=1,1.4*Лист2!AZ$1,Лист2!AZ$1)))</f>
        <v>657.69230769230774</v>
      </c>
      <c r="W37" s="7">
        <f>IF($G37="Москва",1.3*(IF(IF(L37="Да",1,0)=1,1.4*Лист2!BA$1,Лист2!BA$1)),(IF(IF(L37="Да",1,0)=1,1.4*Лист2!BA$1,Лист2!BA$1)))</f>
        <v>230.76923076923075</v>
      </c>
      <c r="X37" s="7">
        <f>IF($G37="Москва",1.3*(IF(IF(M37="Да",1,0)=1,1.4*Лист2!BB$1,Лист2!BB$1)),(IF(IF(M37="Да",1,0)=1,1.4*Лист2!BB$1,Лист2!BB$1)))</f>
        <v>35.384615384615387</v>
      </c>
      <c r="Y37" s="7">
        <f>IF($G37="Москва",1.3*(IF(IF(N37="Да",1,0)=1,1.4*Лист2!BC$1,Лист2!BC$1)),(IF(IF(N37="Да",1,0)=1,1.4*Лист2!BC$1,Лист2!BC$1)))</f>
        <v>936.92307692307691</v>
      </c>
      <c r="Z37" s="7">
        <f>IF($G37="Москва",1.3*(IF(IF(O37="Да",1,0)=1,1.4*Лист2!BD$1,Лист2!BD$1)),(IF(IF(O37="Да",1,0)=1,1.4*Лист2!BD$1,Лист2!BD$1)))</f>
        <v>242.30769230769229</v>
      </c>
      <c r="AA37" s="7">
        <f>IF($G37="Москва",1.3*(IF(IF(P37="Да",1,0)=1,1.4*Лист2!BE$1,Лист2!BE$1)),(IF(IF(P37="Да",1,0)=1,1.4*Лист2!BE$1,Лист2!BE$1)))</f>
        <v>557.69230769230762</v>
      </c>
      <c r="AB37" s="7">
        <f>IF($G37="Москва",1.3*(IF(IF(Q37="Да",1,0)=1,1.4*Лист2!BF$1,Лист2!BF$1)),(IF(IF(Q37="Да",1,0)=1,1.4*Лист2!BF$1,Лист2!BF$1)))</f>
        <v>67.84615384615384</v>
      </c>
      <c r="AC37" s="7">
        <f>IF($G37="Москва",1.3*(IF(IF(R37="Да",1,0)=1,1.4*Лист2!BG$1,Лист2!BG$1)),(IF(IF(R37="Да",1,0)=1,1.4*Лист2!BG$1,Лист2!BG$1)))</f>
        <v>41.46153846153846</v>
      </c>
      <c r="AD37" s="7">
        <f>IF($G37="Москва",1.3*(IF(IF(S37="Да",1,0)=1,1.4*Лист2!BH$1,Лист2!BH$1)),(IF(IF(S37="Да",1,0)=1,1.4*Лист2!BH$1,Лист2!BH$1)))</f>
        <v>168.26923076923077</v>
      </c>
      <c r="AE37" s="9">
        <f>SUM(T37:AD37)</f>
        <v>3435.9615384615386</v>
      </c>
      <c r="AF37">
        <f>AE37*4.2</f>
        <v>14431.038461538463</v>
      </c>
      <c r="AG37">
        <f t="shared" si="0"/>
        <v>28862.076923076926</v>
      </c>
      <c r="AH37">
        <f>IF(IF(G37="Москва",1,0)=1,Лист2!$BK$6,Лист2!$BL$6)</f>
        <v>9230</v>
      </c>
      <c r="AI37">
        <f>AH37-AF37</f>
        <v>-5201.0384615384628</v>
      </c>
      <c r="AJ37">
        <f>(H37-AE37)*4.2</f>
        <v>2368.9615384615381</v>
      </c>
    </row>
    <row r="38" spans="1:56" ht="72" x14ac:dyDescent="0.3">
      <c r="A38" s="3" t="s">
        <v>112</v>
      </c>
      <c r="B38" s="3" t="s">
        <v>31</v>
      </c>
      <c r="C38" s="3">
        <v>20</v>
      </c>
      <c r="D38" s="3" t="s">
        <v>363</v>
      </c>
      <c r="E38" s="3" t="s">
        <v>43</v>
      </c>
      <c r="F38" s="3">
        <v>21000</v>
      </c>
      <c r="G38" s="3" t="s">
        <v>71</v>
      </c>
      <c r="H38" s="3" t="s">
        <v>55</v>
      </c>
      <c r="I38" s="3" t="s">
        <v>43</v>
      </c>
      <c r="J38" s="3" t="s">
        <v>43</v>
      </c>
      <c r="K38" s="3" t="s">
        <v>42</v>
      </c>
      <c r="L38" s="3" t="s">
        <v>43</v>
      </c>
      <c r="M38" s="3" t="s">
        <v>43</v>
      </c>
      <c r="N38" s="3" t="s">
        <v>42</v>
      </c>
      <c r="O38" s="3" t="s">
        <v>43</v>
      </c>
      <c r="P38" s="3" t="s">
        <v>42</v>
      </c>
      <c r="Q38" s="3" t="s">
        <v>43</v>
      </c>
      <c r="R38" s="3" t="s">
        <v>42</v>
      </c>
      <c r="S38" s="3" t="s">
        <v>43</v>
      </c>
      <c r="T38" s="7">
        <f>IF($G38="Москва",1.3*(IF(IF(I38="Да",1,0)=1,1.4*Лист2!AX$1,Лист2!AX$1)),(IF(IF(I38="Да",1,0)=1,1.4*Лист2!AX$1,Лист2!AX$1)))</f>
        <v>218.07692307692307</v>
      </c>
      <c r="U38" s="7">
        <f>IF($G38="Москва",1.3*(IF(IF(J38="Да",1,0)=1,1.4*Лист2!AY$1,Лист2!AY$1)),(IF(IF(J38="Да",1,0)=1,1.4*Лист2!AY$1,Лист2!AY$1)))</f>
        <v>192.30769230769232</v>
      </c>
      <c r="V38" s="7">
        <f>IF($G38="Москва",1.3*(IF(IF(K38="Да",1,0)=1,1.4*Лист2!AZ$1,Лист2!AZ$1)),(IF(IF(K38="Да",1,0)=1,1.4*Лист2!AZ$1,Лист2!AZ$1)))</f>
        <v>920.76923076923072</v>
      </c>
      <c r="W38" s="7">
        <f>IF($G38="Москва",1.3*(IF(IF(L38="Да",1,0)=1,1.4*Лист2!BA$1,Лист2!BA$1)),(IF(IF(L38="Да",1,0)=1,1.4*Лист2!BA$1,Лист2!BA$1)))</f>
        <v>230.76923076923075</v>
      </c>
      <c r="X38" s="7">
        <f>IF($G38="Москва",1.3*(IF(IF(M38="Да",1,0)=1,1.4*Лист2!BB$1,Лист2!BB$1)),(IF(IF(M38="Да",1,0)=1,1.4*Лист2!BB$1,Лист2!BB$1)))</f>
        <v>35.384615384615387</v>
      </c>
      <c r="Y38" s="7">
        <f>IF($G38="Москва",1.3*(IF(IF(N38="Да",1,0)=1,1.4*Лист2!BC$1,Лист2!BC$1)),(IF(IF(N38="Да",1,0)=1,1.4*Лист2!BC$1,Лист2!BC$1)))</f>
        <v>936.92307692307691</v>
      </c>
      <c r="Z38" s="7">
        <f>IF($G38="Москва",1.3*(IF(IF(O38="Да",1,0)=1,1.4*Лист2!BD$1,Лист2!BD$1)),(IF(IF(O38="Да",1,0)=1,1.4*Лист2!BD$1,Лист2!BD$1)))</f>
        <v>242.30769230769229</v>
      </c>
      <c r="AA38" s="7">
        <f>IF($G38="Москва",1.3*(IF(IF(P38="Да",1,0)=1,1.4*Лист2!BE$1,Лист2!BE$1)),(IF(IF(P38="Да",1,0)=1,1.4*Лист2!BE$1,Лист2!BE$1)))</f>
        <v>780.7692307692306</v>
      </c>
      <c r="AB38" s="7">
        <f>IF($G38="Москва",1.3*(IF(IF(Q38="Да",1,0)=1,1.4*Лист2!BF$1,Лист2!BF$1)),(IF(IF(Q38="Да",1,0)=1,1.4*Лист2!BF$1,Лист2!BF$1)))</f>
        <v>48.46153846153846</v>
      </c>
      <c r="AC38" s="7">
        <f>IF($G38="Москва",1.3*(IF(IF(R38="Да",1,0)=1,1.4*Лист2!BG$1,Лист2!BG$1)),(IF(IF(R38="Да",1,0)=1,1.4*Лист2!BG$1,Лист2!BG$1)))</f>
        <v>41.46153846153846</v>
      </c>
      <c r="AD38" s="7">
        <f>IF($G38="Москва",1.3*(IF(IF(S38="Да",1,0)=1,1.4*Лист2!BH$1,Лист2!BH$1)),(IF(IF(S38="Да",1,0)=1,1.4*Лист2!BH$1,Лист2!BH$1)))</f>
        <v>120.19230769230769</v>
      </c>
      <c r="AE38" s="9">
        <f>SUM(T38:AD38)</f>
        <v>3767.4230769230771</v>
      </c>
      <c r="AF38">
        <f>AE38*4.2</f>
        <v>15823.176923076924</v>
      </c>
      <c r="AG38">
        <f t="shared" si="0"/>
        <v>31646.353846153848</v>
      </c>
      <c r="AH38">
        <f>IF(IF(G38="Москва",1,0)=1,Лист2!$BK$6,Лист2!$BL$6)</f>
        <v>9230</v>
      </c>
      <c r="AI38">
        <f>AH38-AF38</f>
        <v>-6593.1769230769241</v>
      </c>
      <c r="AJ38">
        <f>(H38-AE38)*4.2</f>
        <v>5176.8230769230759</v>
      </c>
      <c r="AK38" s="7"/>
      <c r="AL38" s="7"/>
    </row>
    <row r="39" spans="1:56" ht="72" x14ac:dyDescent="0.3">
      <c r="A39" s="3" t="s">
        <v>113</v>
      </c>
      <c r="B39" s="3" t="s">
        <v>31</v>
      </c>
      <c r="C39" s="3">
        <v>50</v>
      </c>
      <c r="D39" s="3" t="s">
        <v>363</v>
      </c>
      <c r="E39" s="3" t="s">
        <v>42</v>
      </c>
      <c r="F39" s="3">
        <v>60000</v>
      </c>
      <c r="G39" s="3" t="s">
        <v>71</v>
      </c>
      <c r="H39" s="3" t="s">
        <v>55</v>
      </c>
      <c r="I39" s="3" t="s">
        <v>43</v>
      </c>
      <c r="J39" s="3" t="s">
        <v>42</v>
      </c>
      <c r="K39" s="3" t="s">
        <v>42</v>
      </c>
      <c r="L39" s="3" t="s">
        <v>43</v>
      </c>
      <c r="M39" s="3" t="s">
        <v>43</v>
      </c>
      <c r="N39" s="3" t="s">
        <v>42</v>
      </c>
      <c r="O39" s="3" t="s">
        <v>43</v>
      </c>
      <c r="P39" s="3" t="s">
        <v>43</v>
      </c>
      <c r="Q39" s="3" t="s">
        <v>42</v>
      </c>
      <c r="R39" s="3" t="s">
        <v>42</v>
      </c>
      <c r="S39" s="3" t="s">
        <v>42</v>
      </c>
      <c r="T39" s="7">
        <f>IF($G39="Москва",1.3*(IF(IF(I39="Да",1,0)=1,1.4*Лист2!AX$1,Лист2!AX$1)),(IF(IF(I39="Да",1,0)=1,1.4*Лист2!AX$1,Лист2!AX$1)))</f>
        <v>218.07692307692307</v>
      </c>
      <c r="U39" s="7">
        <f>IF($G39="Москва",1.3*(IF(IF(J39="Да",1,0)=1,1.4*Лист2!AY$1,Лист2!AY$1)),(IF(IF(J39="Да",1,0)=1,1.4*Лист2!AY$1,Лист2!AY$1)))</f>
        <v>269.23076923076923</v>
      </c>
      <c r="V39" s="7">
        <f>IF($G39="Москва",1.3*(IF(IF(K39="Да",1,0)=1,1.4*Лист2!AZ$1,Лист2!AZ$1)),(IF(IF(K39="Да",1,0)=1,1.4*Лист2!AZ$1,Лист2!AZ$1)))</f>
        <v>920.76923076923072</v>
      </c>
      <c r="W39" s="7">
        <f>IF($G39="Москва",1.3*(IF(IF(L39="Да",1,0)=1,1.4*Лист2!BA$1,Лист2!BA$1)),(IF(IF(L39="Да",1,0)=1,1.4*Лист2!BA$1,Лист2!BA$1)))</f>
        <v>230.76923076923075</v>
      </c>
      <c r="X39" s="7">
        <f>IF($G39="Москва",1.3*(IF(IF(M39="Да",1,0)=1,1.4*Лист2!BB$1,Лист2!BB$1)),(IF(IF(M39="Да",1,0)=1,1.4*Лист2!BB$1,Лист2!BB$1)))</f>
        <v>35.384615384615387</v>
      </c>
      <c r="Y39" s="7">
        <f>IF($G39="Москва",1.3*(IF(IF(N39="Да",1,0)=1,1.4*Лист2!BC$1,Лист2!BC$1)),(IF(IF(N39="Да",1,0)=1,1.4*Лист2!BC$1,Лист2!BC$1)))</f>
        <v>936.92307692307691</v>
      </c>
      <c r="Z39" s="7">
        <f>IF($G39="Москва",1.3*(IF(IF(O39="Да",1,0)=1,1.4*Лист2!BD$1,Лист2!BD$1)),(IF(IF(O39="Да",1,0)=1,1.4*Лист2!BD$1,Лист2!BD$1)))</f>
        <v>242.30769230769229</v>
      </c>
      <c r="AA39" s="7">
        <f>IF($G39="Москва",1.3*(IF(IF(P39="Да",1,0)=1,1.4*Лист2!BE$1,Лист2!BE$1)),(IF(IF(P39="Да",1,0)=1,1.4*Лист2!BE$1,Лист2!BE$1)))</f>
        <v>557.69230769230762</v>
      </c>
      <c r="AB39" s="7">
        <f>IF($G39="Москва",1.3*(IF(IF(Q39="Да",1,0)=1,1.4*Лист2!BF$1,Лист2!BF$1)),(IF(IF(Q39="Да",1,0)=1,1.4*Лист2!BF$1,Лист2!BF$1)))</f>
        <v>67.84615384615384</v>
      </c>
      <c r="AC39" s="7">
        <f>IF($G39="Москва",1.3*(IF(IF(R39="Да",1,0)=1,1.4*Лист2!BG$1,Лист2!BG$1)),(IF(IF(R39="Да",1,0)=1,1.4*Лист2!BG$1,Лист2!BG$1)))</f>
        <v>41.46153846153846</v>
      </c>
      <c r="AD39" s="7">
        <f>IF($G39="Москва",1.3*(IF(IF(S39="Да",1,0)=1,1.4*Лист2!BH$1,Лист2!BH$1)),(IF(IF(S39="Да",1,0)=1,1.4*Лист2!BH$1,Лист2!BH$1)))</f>
        <v>168.26923076923077</v>
      </c>
      <c r="AE39" s="9">
        <f>SUM(T39:AD39)</f>
        <v>3688.7307692307691</v>
      </c>
      <c r="AF39">
        <f>AE39*4.2</f>
        <v>15492.66923076923</v>
      </c>
      <c r="AG39">
        <f t="shared" si="0"/>
        <v>30985.33846153846</v>
      </c>
      <c r="AH39">
        <f>IF(IF(G39="Москва",1,0)=1,Лист2!$BK$6,Лист2!$BL$6)</f>
        <v>9230</v>
      </c>
      <c r="AI39">
        <f>AH39-AF39</f>
        <v>-6262.6692307692301</v>
      </c>
      <c r="AJ39">
        <f>(H39-AE39)*4.2</f>
        <v>5507.3307692307699</v>
      </c>
      <c r="AK39" s="7"/>
      <c r="AL39" s="7"/>
      <c r="AN39" s="7"/>
      <c r="AO39" s="7"/>
      <c r="AP39" s="7"/>
      <c r="AQ39" s="7"/>
      <c r="AS39" s="9"/>
    </row>
    <row r="40" spans="1:56" ht="72" x14ac:dyDescent="0.3">
      <c r="A40" s="3" t="s">
        <v>114</v>
      </c>
      <c r="B40" s="3" t="s">
        <v>31</v>
      </c>
      <c r="C40" s="3">
        <v>20</v>
      </c>
      <c r="D40" s="3" t="s">
        <v>363</v>
      </c>
      <c r="E40" s="3" t="s">
        <v>43</v>
      </c>
      <c r="F40" s="3">
        <v>12000</v>
      </c>
      <c r="G40" s="3" t="s">
        <v>115</v>
      </c>
      <c r="H40" s="3">
        <v>20000</v>
      </c>
      <c r="I40" s="3" t="s">
        <v>42</v>
      </c>
      <c r="J40" s="3" t="s">
        <v>43</v>
      </c>
      <c r="K40" s="3" t="s">
        <v>42</v>
      </c>
      <c r="L40" s="3" t="s">
        <v>42</v>
      </c>
      <c r="M40" s="3" t="s">
        <v>43</v>
      </c>
      <c r="N40" s="3" t="s">
        <v>42</v>
      </c>
      <c r="O40" s="3" t="s">
        <v>43</v>
      </c>
      <c r="P40" s="3" t="s">
        <v>42</v>
      </c>
      <c r="Q40" s="3" t="s">
        <v>43</v>
      </c>
      <c r="R40" s="3" t="s">
        <v>43</v>
      </c>
      <c r="S40" s="3" t="s">
        <v>42</v>
      </c>
      <c r="T40" s="7">
        <f>IF($G40="Москва",1.3*(IF(IF(I40="Да",1,0)=1,1.4*Лист2!AX$1,Лист2!AX$1)),(IF(IF(I40="Да",1,0)=1,1.4*Лист2!AX$1,Лист2!AX$1)))</f>
        <v>305.30769230769226</v>
      </c>
      <c r="U40" s="7">
        <f>IF($G40="Москва",1.3*(IF(IF(J40="Да",1,0)=1,1.4*Лист2!AY$1,Лист2!AY$1)),(IF(IF(J40="Да",1,0)=1,1.4*Лист2!AY$1,Лист2!AY$1)))</f>
        <v>192.30769230769232</v>
      </c>
      <c r="V40" s="7">
        <f>IF($G40="Москва",1.3*(IF(IF(K40="Да",1,0)=1,1.4*Лист2!AZ$1,Лист2!AZ$1)),(IF(IF(K40="Да",1,0)=1,1.4*Лист2!AZ$1,Лист2!AZ$1)))</f>
        <v>920.76923076923072</v>
      </c>
      <c r="W40" s="7">
        <f>IF($G40="Москва",1.3*(IF(IF(L40="Да",1,0)=1,1.4*Лист2!BA$1,Лист2!BA$1)),(IF(IF(L40="Да",1,0)=1,1.4*Лист2!BA$1,Лист2!BA$1)))</f>
        <v>323.07692307692304</v>
      </c>
      <c r="X40" s="7">
        <f>IF($G40="Москва",1.3*(IF(IF(M40="Да",1,0)=1,1.4*Лист2!BB$1,Лист2!BB$1)),(IF(IF(M40="Да",1,0)=1,1.4*Лист2!BB$1,Лист2!BB$1)))</f>
        <v>35.384615384615387</v>
      </c>
      <c r="Y40" s="7">
        <f>IF($G40="Москва",1.3*(IF(IF(N40="Да",1,0)=1,1.4*Лист2!BC$1,Лист2!BC$1)),(IF(IF(N40="Да",1,0)=1,1.4*Лист2!BC$1,Лист2!BC$1)))</f>
        <v>936.92307692307691</v>
      </c>
      <c r="Z40" s="7">
        <f>IF($G40="Москва",1.3*(IF(IF(O40="Да",1,0)=1,1.4*Лист2!BD$1,Лист2!BD$1)),(IF(IF(O40="Да",1,0)=1,1.4*Лист2!BD$1,Лист2!BD$1)))</f>
        <v>242.30769230769229</v>
      </c>
      <c r="AA40" s="7">
        <f>IF($G40="Москва",1.3*(IF(IF(P40="Да",1,0)=1,1.4*Лист2!BE$1,Лист2!BE$1)),(IF(IF(P40="Да",1,0)=1,1.4*Лист2!BE$1,Лист2!BE$1)))</f>
        <v>780.7692307692306</v>
      </c>
      <c r="AB40" s="7">
        <f>IF($G40="Москва",1.3*(IF(IF(Q40="Да",1,0)=1,1.4*Лист2!BF$1,Лист2!BF$1)),(IF(IF(Q40="Да",1,0)=1,1.4*Лист2!BF$1,Лист2!BF$1)))</f>
        <v>48.46153846153846</v>
      </c>
      <c r="AC40" s="7">
        <f>IF($G40="Москва",1.3*(IF(IF(R40="Да",1,0)=1,1.4*Лист2!BG$1,Лист2!BG$1)),(IF(IF(R40="Да",1,0)=1,1.4*Лист2!BG$1,Лист2!BG$1)))</f>
        <v>29.615384615384617</v>
      </c>
      <c r="AD40" s="7">
        <f>IF($G40="Москва",1.3*(IF(IF(S40="Да",1,0)=1,1.4*Лист2!BH$1,Лист2!BH$1)),(IF(IF(S40="Да",1,0)=1,1.4*Лист2!BH$1,Лист2!BH$1)))</f>
        <v>168.26923076923077</v>
      </c>
      <c r="AE40" s="9">
        <f>SUM(T40:AD40)</f>
        <v>3983.1923076923076</v>
      </c>
      <c r="AF40">
        <f>AE40*4.2</f>
        <v>16729.407692307694</v>
      </c>
      <c r="AG40">
        <f t="shared" si="0"/>
        <v>33458.815384615387</v>
      </c>
      <c r="AH40">
        <f>IF(IF(G40="Москва",1,0)=1,Лист2!$BK$6,Лист2!$BL$6)</f>
        <v>9230</v>
      </c>
      <c r="AI40">
        <f>AH40-AF40</f>
        <v>-7499.4076923076937</v>
      </c>
      <c r="AJ40">
        <f>(H40-AE40)*4.2</f>
        <v>67270.592307692306</v>
      </c>
      <c r="AK40" s="7"/>
      <c r="AL40" s="7"/>
      <c r="AM40" s="7"/>
      <c r="AN40" s="7"/>
      <c r="AO40" s="7"/>
      <c r="AP40" s="7"/>
      <c r="AQ40" s="7"/>
    </row>
    <row r="41" spans="1:56" x14ac:dyDescent="0.3">
      <c r="AU41" s="7"/>
      <c r="AV41" s="7"/>
      <c r="AW41" s="7"/>
      <c r="AX41" s="7"/>
      <c r="AY41" s="7"/>
      <c r="AZ41" s="7"/>
      <c r="BA41" s="7"/>
      <c r="BB41" s="7"/>
      <c r="BC41" s="7"/>
      <c r="BD41" s="7"/>
    </row>
    <row r="42" spans="1:56" x14ac:dyDescent="0.3">
      <c r="AU42" s="7"/>
      <c r="AV42" s="7"/>
      <c r="AW42" s="7"/>
      <c r="AX42" s="7"/>
      <c r="AY42" s="7"/>
      <c r="AZ42" s="7"/>
      <c r="BA42" s="7"/>
      <c r="BB42" s="7"/>
      <c r="BC42" s="7"/>
      <c r="BD42" s="7"/>
    </row>
    <row r="43" spans="1:56" x14ac:dyDescent="0.3">
      <c r="AU43" s="7"/>
      <c r="AV43" s="7"/>
      <c r="AW43" s="7"/>
      <c r="AX43" s="7"/>
      <c r="AY43" s="7"/>
      <c r="AZ43" s="7"/>
      <c r="BA43" s="7"/>
      <c r="BB43" s="7"/>
      <c r="BC43" s="7"/>
      <c r="BD43" s="7"/>
    </row>
    <row r="44" spans="1:56" x14ac:dyDescent="0.3">
      <c r="AU44" s="7"/>
      <c r="AV44" s="7"/>
      <c r="AW44" s="7"/>
      <c r="AZ44" s="7"/>
      <c r="BA44" s="7"/>
      <c r="BB44" s="7"/>
      <c r="BC44" s="7"/>
      <c r="BD44" s="7"/>
    </row>
    <row r="45" spans="1:56" x14ac:dyDescent="0.3">
      <c r="AU45" s="7"/>
      <c r="AV45" s="7"/>
      <c r="AW45" s="7"/>
      <c r="AZ45" s="7"/>
    </row>
    <row r="46" spans="1:56" x14ac:dyDescent="0.3">
      <c r="AU46" s="7"/>
      <c r="AV46" s="7"/>
      <c r="AW46" s="7"/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F1" zoomScale="68" workbookViewId="0">
      <selection activeCell="Z3" sqref="Z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7"/>
  <sheetViews>
    <sheetView topLeftCell="BA4" zoomScale="66" workbookViewId="0">
      <selection activeCell="BK6" sqref="BK6"/>
    </sheetView>
  </sheetViews>
  <sheetFormatPr defaultRowHeight="14.4" x14ac:dyDescent="0.3"/>
  <cols>
    <col min="37" max="37" width="11.44140625" bestFit="1" customWidth="1"/>
    <col min="44" max="44" width="9.109375" bestFit="1" customWidth="1"/>
    <col min="45" max="45" width="10.44140625" bestFit="1" customWidth="1"/>
    <col min="49" max="49" width="11.44140625" bestFit="1" customWidth="1"/>
    <col min="50" max="59" width="9.44140625" bestFit="1" customWidth="1"/>
  </cols>
  <sheetData>
    <row r="1" spans="1:97" ht="115.2" x14ac:dyDescent="0.3">
      <c r="S1" s="4" t="s">
        <v>128</v>
      </c>
      <c r="T1" s="23">
        <v>2.4230769230769229</v>
      </c>
      <c r="U1" s="23">
        <v>1.9230769230769231</v>
      </c>
      <c r="V1" s="23">
        <v>2.1923076923076925</v>
      </c>
      <c r="W1" s="23">
        <v>1.1538461538461537</v>
      </c>
      <c r="X1" s="23">
        <v>0.44230769230769229</v>
      </c>
      <c r="Y1" s="23">
        <v>1.1153846153846154</v>
      </c>
      <c r="Z1" s="23">
        <v>0.34615384615384615</v>
      </c>
      <c r="AA1" s="23">
        <v>5.5769230769230766</v>
      </c>
      <c r="AB1" s="23">
        <v>4.0384615384615383</v>
      </c>
      <c r="AC1" s="23">
        <v>0.21153846153846154</v>
      </c>
      <c r="AD1" s="23">
        <v>9.6153846153846159E-2</v>
      </c>
      <c r="AJ1" s="4" t="s">
        <v>117</v>
      </c>
      <c r="AK1" s="24">
        <v>90</v>
      </c>
      <c r="AL1" s="24">
        <v>100</v>
      </c>
      <c r="AM1" s="24">
        <v>300</v>
      </c>
      <c r="AN1" s="24">
        <v>200</v>
      </c>
      <c r="AO1" s="24">
        <v>80</v>
      </c>
      <c r="AP1" s="24">
        <v>600</v>
      </c>
      <c r="AQ1" s="24">
        <v>700</v>
      </c>
      <c r="AR1" s="24">
        <v>100</v>
      </c>
      <c r="AS1" s="24">
        <v>12</v>
      </c>
      <c r="AT1" s="24">
        <v>140</v>
      </c>
      <c r="AU1" s="24">
        <v>1250</v>
      </c>
      <c r="AW1" s="4" t="s">
        <v>341</v>
      </c>
      <c r="AX1" s="24">
        <v>218.07692307692307</v>
      </c>
      <c r="AY1" s="24">
        <v>192.30769230769232</v>
      </c>
      <c r="AZ1" s="24">
        <v>657.69230769230774</v>
      </c>
      <c r="BA1" s="24">
        <v>230.76923076923075</v>
      </c>
      <c r="BB1" s="24">
        <v>35.384615384615387</v>
      </c>
      <c r="BC1" s="24">
        <v>669.23076923076928</v>
      </c>
      <c r="BD1" s="24">
        <v>242.30769230769229</v>
      </c>
      <c r="BE1" s="24">
        <v>557.69230769230762</v>
      </c>
      <c r="BF1" s="24">
        <v>48.46153846153846</v>
      </c>
      <c r="BG1" s="24">
        <v>29.615384615384617</v>
      </c>
      <c r="BH1" s="24">
        <v>120.19230769230769</v>
      </c>
      <c r="BI1" s="17" t="s">
        <v>337</v>
      </c>
      <c r="BJ1" s="5" t="s">
        <v>338</v>
      </c>
      <c r="BK1">
        <v>13651</v>
      </c>
      <c r="BL1">
        <v>9230</v>
      </c>
    </row>
    <row r="2" spans="1:97" s="1" customFormat="1" ht="279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6" t="s">
        <v>130</v>
      </c>
      <c r="AF2" s="6" t="s">
        <v>129</v>
      </c>
      <c r="AG2" s="4"/>
      <c r="AH2" s="5"/>
      <c r="AI2" s="5"/>
      <c r="AJ2" s="5"/>
      <c r="AK2" s="5"/>
      <c r="AL2" s="5"/>
      <c r="AM2" s="5"/>
      <c r="AN2" s="5"/>
      <c r="AO2" s="5"/>
      <c r="AP2" s="5"/>
      <c r="AQ2" s="25" t="s">
        <v>132</v>
      </c>
      <c r="AR2" s="24" t="s">
        <v>118</v>
      </c>
      <c r="AS2" s="24" t="s">
        <v>119</v>
      </c>
      <c r="AT2" s="24" t="s">
        <v>120</v>
      </c>
      <c r="AU2" s="24" t="s">
        <v>121</v>
      </c>
      <c r="AV2" s="24" t="s">
        <v>122</v>
      </c>
      <c r="AW2" s="24" t="s">
        <v>108</v>
      </c>
      <c r="AX2" s="24" t="s">
        <v>123</v>
      </c>
      <c r="AY2" s="24" t="s">
        <v>124</v>
      </c>
      <c r="AZ2" s="24" t="s">
        <v>106</v>
      </c>
      <c r="BA2" s="24" t="s">
        <v>125</v>
      </c>
      <c r="BB2" s="24" t="s">
        <v>126</v>
      </c>
      <c r="BC2" s="5" t="s">
        <v>131</v>
      </c>
      <c r="BD2" s="4" t="s">
        <v>340</v>
      </c>
      <c r="BE2" s="16" t="s">
        <v>133</v>
      </c>
      <c r="BF2" s="5" t="s">
        <v>339</v>
      </c>
      <c r="BG2" s="5" t="s">
        <v>342</v>
      </c>
      <c r="BH2" s="5" t="s">
        <v>343</v>
      </c>
      <c r="BI2" s="5"/>
      <c r="BJ2" s="5"/>
      <c r="BK2" s="5"/>
      <c r="BL2" s="5"/>
      <c r="BM2" s="5"/>
      <c r="BN2" s="4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CA2"/>
      <c r="CB2"/>
      <c r="CC2"/>
      <c r="CD2"/>
      <c r="CE2"/>
      <c r="CF2"/>
      <c r="CG2"/>
      <c r="CH2"/>
      <c r="CI2"/>
      <c r="CJ2"/>
      <c r="CK2"/>
      <c r="CL2"/>
      <c r="CM2"/>
      <c r="CN2"/>
    </row>
    <row r="3" spans="1:97" s="1" customFormat="1" ht="279" customHeight="1" x14ac:dyDescent="0.3">
      <c r="A3" s="3" t="s">
        <v>30</v>
      </c>
      <c r="B3" s="3" t="s">
        <v>31</v>
      </c>
      <c r="C3" s="3">
        <v>20</v>
      </c>
      <c r="D3" s="3" t="s">
        <v>32</v>
      </c>
      <c r="E3" s="3" t="s">
        <v>33</v>
      </c>
      <c r="F3" s="3">
        <v>60000</v>
      </c>
      <c r="G3" s="3" t="s">
        <v>127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35</v>
      </c>
      <c r="M3" s="3" t="s">
        <v>35</v>
      </c>
      <c r="N3" s="3" t="s">
        <v>38</v>
      </c>
      <c r="O3" s="3" t="s">
        <v>39</v>
      </c>
      <c r="P3" s="3" t="s">
        <v>40</v>
      </c>
      <c r="Q3" s="3" t="s">
        <v>39</v>
      </c>
      <c r="R3" s="3" t="s">
        <v>39</v>
      </c>
      <c r="S3" s="3" t="s">
        <v>41</v>
      </c>
      <c r="T3" s="3" t="s">
        <v>42</v>
      </c>
      <c r="U3" s="3" t="s">
        <v>43</v>
      </c>
      <c r="V3" s="3" t="s">
        <v>42</v>
      </c>
      <c r="W3" s="3" t="s">
        <v>43</v>
      </c>
      <c r="X3" s="3" t="s">
        <v>42</v>
      </c>
      <c r="Y3" s="3" t="s">
        <v>42</v>
      </c>
      <c r="Z3" s="3" t="s">
        <v>43</v>
      </c>
      <c r="AA3" s="3" t="s">
        <v>43</v>
      </c>
      <c r="AB3" s="3" t="s">
        <v>43</v>
      </c>
      <c r="AC3" s="3" t="s">
        <v>42</v>
      </c>
      <c r="AD3" s="3" t="s">
        <v>43</v>
      </c>
      <c r="AE3" s="3">
        <f>IF(G25 = "Москва",1,0)</f>
        <v>1</v>
      </c>
      <c r="AF3">
        <f>IF(T3="Да",1,0)</f>
        <v>1</v>
      </c>
      <c r="AG3">
        <f t="shared" ref="AG3:AP3" si="0">IF(U3="Да",1,0)</f>
        <v>0</v>
      </c>
      <c r="AH3">
        <f t="shared" si="0"/>
        <v>1</v>
      </c>
      <c r="AI3">
        <f t="shared" si="0"/>
        <v>0</v>
      </c>
      <c r="AJ3">
        <f t="shared" si="0"/>
        <v>1</v>
      </c>
      <c r="AK3">
        <f t="shared" si="0"/>
        <v>1</v>
      </c>
      <c r="AL3">
        <f t="shared" si="0"/>
        <v>0</v>
      </c>
      <c r="AM3">
        <f t="shared" si="0"/>
        <v>0</v>
      </c>
      <c r="AN3">
        <f t="shared" si="0"/>
        <v>0</v>
      </c>
      <c r="AO3">
        <f t="shared" si="0"/>
        <v>1</v>
      </c>
      <c r="AP3">
        <f t="shared" si="0"/>
        <v>0</v>
      </c>
      <c r="AQ3"/>
      <c r="AR3" s="7">
        <f>IF($AE3=1,1.3*(IF(AF3=1,1.4*AX$1,AX$1)),(IF(AF3=1,1.4*AX$1,AX$1)))</f>
        <v>396.9</v>
      </c>
      <c r="AS3" s="7">
        <f>IF($AE3=1,1.3*(IF(AG3=1,1.4*AY$1,AY$1)),(IF(AG3=1,1.4*AY$1,AY$1)))</f>
        <v>250.00000000000003</v>
      </c>
      <c r="AT3" s="7">
        <f>IF($AE3=1,1.3*(IF(AH3=1,1.4*AZ$1,AZ$1)),(IF(AH3=1,1.4*AZ$1,AZ$1)))</f>
        <v>1197</v>
      </c>
      <c r="AU3" s="7">
        <f>IF($AE3=1,1.3*(IF(AI3=1,1.4*BA$1,BA$1)),(IF(AI3=1,1.4*BA$1,BA$1)))</f>
        <v>300</v>
      </c>
      <c r="AV3" s="7">
        <f>IF($AE3=1,1.3*(IF(AJ3=1,1.4*BB$1,BB$1)),(IF(AJ3=1,1.4*BB$1,BB$1)))</f>
        <v>64.400000000000006</v>
      </c>
      <c r="AW3" s="7">
        <f>IF($AE3=1,1.3*(IF(AK3=1,1.4*BC$1,BC$1)),(IF(AK3=1,1.4*BC$1,BC$1)))</f>
        <v>1218</v>
      </c>
      <c r="AX3" s="7">
        <f>IF($AE3=1,1.3*(IF(AL3=1,1.4*BD$1,BD$1)),(IF(AL3=1,1.4*BD$1,BD$1)))</f>
        <v>315</v>
      </c>
      <c r="AY3" s="7">
        <f>IF($AE3=1,1.3*(IF(AM3=1,1.4*BE$1,BE$1)),(IF(AM3=1,1.4*BE$1,BE$1)))</f>
        <v>724.99999999999989</v>
      </c>
      <c r="AZ3" s="7">
        <f>IF($AE3=1,1.3*(IF(AN3=1,1.4*BF$1,BF$1)),(IF(AN3=1,1.4*BF$1,BF$1)))</f>
        <v>63</v>
      </c>
      <c r="BA3" s="7">
        <f>IF($AE3=1,1.3*(IF(AO3=1,1.4*BG$1,BG$1)),(IF(AO3=1,1.4*BG$1,BG$1)))</f>
        <v>53.9</v>
      </c>
      <c r="BB3" s="7">
        <f>IF($AE3=1,1.3*(IF(AP3=1,1.4*BH$1,BH$1)),(IF(AP3=1,1.4*BH$1,BH$1)))</f>
        <v>156.25</v>
      </c>
      <c r="BC3" s="9">
        <f>SUM(AR3:BB3)</f>
        <v>4739.45</v>
      </c>
      <c r="BD3">
        <f>BC3*4.2</f>
        <v>19905.689999999999</v>
      </c>
      <c r="BE3">
        <f>BD3*2</f>
        <v>39811.379999999997</v>
      </c>
      <c r="BF3">
        <f>IF(AE3=1,$BK$1,$BL$1)</f>
        <v>13651</v>
      </c>
      <c r="BG3">
        <f>BF3-BD3</f>
        <v>-6254.6899999999987</v>
      </c>
      <c r="BH3">
        <f>(H3-BC3)*4.2</f>
        <v>11594.310000000001</v>
      </c>
      <c r="BI3" s="5"/>
      <c r="BJ3" s="4" t="s">
        <v>128</v>
      </c>
      <c r="BK3" s="23">
        <v>2.4230769230769229</v>
      </c>
      <c r="BL3" s="23">
        <v>1.9230769230769231</v>
      </c>
      <c r="BM3" s="23">
        <v>2.1923076923076925</v>
      </c>
      <c r="BN3" s="23">
        <v>1.1538461538461537</v>
      </c>
      <c r="BO3" s="23">
        <v>0.44230769230769229</v>
      </c>
      <c r="BP3" s="23">
        <v>1.1153846153846154</v>
      </c>
      <c r="BQ3" s="23">
        <v>0.34615384615384615</v>
      </c>
      <c r="BR3" s="23">
        <v>5.5769230769230766</v>
      </c>
      <c r="BS3" s="23">
        <v>4.0384615384615383</v>
      </c>
      <c r="BT3" s="23">
        <v>0.21153846153846154</v>
      </c>
      <c r="BU3" s="23">
        <v>9.6153846153846159E-2</v>
      </c>
      <c r="BV3" s="4" t="s">
        <v>117</v>
      </c>
      <c r="BW3" s="24">
        <v>90</v>
      </c>
      <c r="BX3" s="24">
        <v>100</v>
      </c>
      <c r="BY3" s="24">
        <v>300</v>
      </c>
      <c r="BZ3" s="24">
        <v>200</v>
      </c>
      <c r="CA3" s="24">
        <v>80</v>
      </c>
      <c r="CB3" s="24">
        <v>600</v>
      </c>
      <c r="CC3" s="24">
        <v>700</v>
      </c>
      <c r="CD3" s="24">
        <v>100</v>
      </c>
      <c r="CE3" s="24">
        <v>12</v>
      </c>
      <c r="CF3" s="24">
        <v>140</v>
      </c>
      <c r="CG3" s="24">
        <v>1250</v>
      </c>
      <c r="CH3" s="4" t="s">
        <v>341</v>
      </c>
      <c r="CI3" s="24">
        <f>BK3*BW3</f>
        <v>218.07692307692307</v>
      </c>
      <c r="CJ3" s="24">
        <f>BL3*BX3</f>
        <v>192.30769230769232</v>
      </c>
      <c r="CK3" s="24">
        <f t="shared" ref="CK3:CS3" si="1">BM3*BY3</f>
        <v>657.69230769230774</v>
      </c>
      <c r="CL3" s="24">
        <f t="shared" si="1"/>
        <v>230.76923076923075</v>
      </c>
      <c r="CM3" s="24">
        <f t="shared" si="1"/>
        <v>35.384615384615387</v>
      </c>
      <c r="CN3" s="24">
        <f t="shared" si="1"/>
        <v>669.23076923076928</v>
      </c>
      <c r="CO3" s="24">
        <f t="shared" si="1"/>
        <v>242.30769230769229</v>
      </c>
      <c r="CP3" s="24">
        <f t="shared" si="1"/>
        <v>557.69230769230762</v>
      </c>
      <c r="CQ3" s="24">
        <f t="shared" si="1"/>
        <v>48.46153846153846</v>
      </c>
      <c r="CR3" s="24">
        <f t="shared" si="1"/>
        <v>29.615384615384617</v>
      </c>
      <c r="CS3" s="24">
        <f t="shared" si="1"/>
        <v>120.19230769230769</v>
      </c>
    </row>
    <row r="4" spans="1:97" ht="144" x14ac:dyDescent="0.3">
      <c r="A4" s="3" t="s">
        <v>44</v>
      </c>
      <c r="B4" s="3" t="s">
        <v>45</v>
      </c>
      <c r="C4" s="3">
        <v>35</v>
      </c>
      <c r="D4" s="3" t="s">
        <v>46</v>
      </c>
      <c r="E4" s="3" t="s">
        <v>33</v>
      </c>
      <c r="F4" s="3">
        <v>30000</v>
      </c>
      <c r="G4" s="3" t="s">
        <v>127</v>
      </c>
      <c r="H4" s="3" t="s">
        <v>47</v>
      </c>
      <c r="I4" s="3" t="s">
        <v>38</v>
      </c>
      <c r="J4" s="3" t="s">
        <v>40</v>
      </c>
      <c r="K4" s="3" t="s">
        <v>40</v>
      </c>
      <c r="L4" s="3" t="s">
        <v>36</v>
      </c>
      <c r="M4" s="3" t="s">
        <v>48</v>
      </c>
      <c r="N4" s="3" t="s">
        <v>38</v>
      </c>
      <c r="O4" s="3" t="s">
        <v>49</v>
      </c>
      <c r="P4" s="3" t="s">
        <v>36</v>
      </c>
      <c r="Q4" s="3" t="s">
        <v>38</v>
      </c>
      <c r="R4" s="3" t="s">
        <v>35</v>
      </c>
      <c r="S4" s="3" t="s">
        <v>36</v>
      </c>
      <c r="T4" s="3" t="s">
        <v>42</v>
      </c>
      <c r="U4" s="3" t="s">
        <v>43</v>
      </c>
      <c r="V4" s="3" t="s">
        <v>43</v>
      </c>
      <c r="W4" s="3" t="s">
        <v>43</v>
      </c>
      <c r="X4" s="3" t="s">
        <v>43</v>
      </c>
      <c r="Y4" s="3" t="s">
        <v>42</v>
      </c>
      <c r="Z4" s="3" t="s">
        <v>43</v>
      </c>
      <c r="AA4" s="3" t="s">
        <v>42</v>
      </c>
      <c r="AB4" s="3" t="s">
        <v>42</v>
      </c>
      <c r="AC4" s="3" t="s">
        <v>43</v>
      </c>
      <c r="AD4" s="3" t="s">
        <v>43</v>
      </c>
      <c r="AE4" s="3">
        <v>1</v>
      </c>
      <c r="AF4">
        <f>IF(T4="Да",1,0)</f>
        <v>1</v>
      </c>
      <c r="AG4">
        <f>IF(U3="Да",1,0)</f>
        <v>0</v>
      </c>
      <c r="AH4">
        <f>IF(V3="Да",1,0)</f>
        <v>1</v>
      </c>
      <c r="AI4">
        <f>IF(W3="Да",1,0)</f>
        <v>0</v>
      </c>
      <c r="AJ4">
        <f>IF(X3="Да",1,0)</f>
        <v>1</v>
      </c>
      <c r="AK4">
        <f>IF(Y3="Да",1,0)</f>
        <v>1</v>
      </c>
      <c r="AL4">
        <f>IF(Z3="Да",1,0)</f>
        <v>0</v>
      </c>
      <c r="AM4">
        <f>IF(AA3="Да",1,0)</f>
        <v>0</v>
      </c>
      <c r="AN4">
        <f>IF(AB3="Да",1,0)</f>
        <v>0</v>
      </c>
      <c r="AO4">
        <f>IF(AC3="Да",1,0)</f>
        <v>1</v>
      </c>
      <c r="AP4">
        <f>IF(AD3="Да",1,0)</f>
        <v>0</v>
      </c>
      <c r="AQ4" s="8"/>
      <c r="AR4" s="7">
        <f>IF($AE4=1,1.3*(IF(AF4=1,1.4*AX$1,AX$1)),(IF(AF4=1,1.4*AX$1,AX$1)))</f>
        <v>396.9</v>
      </c>
      <c r="AS4" s="7">
        <f>IF($AE4=1,1.3*(IF(AG4=1,1.4*AY$1,AY$1)),(IF(AG4=1,1.4*AY$1,AY$1)))</f>
        <v>250.00000000000003</v>
      </c>
      <c r="AT4" s="7">
        <f>IF($AE4=1,1.3*(IF(AH4=1,1.4*AZ$1,AZ$1)),(IF(AH4=1,1.4*AZ$1,AZ$1)))</f>
        <v>1197</v>
      </c>
      <c r="AU4" s="7">
        <f>IF($AE4=1,1.3*(IF(AI4=1,1.4*BA$1,BA$1)),(IF(AI4=1,1.4*BA$1,BA$1)))</f>
        <v>300</v>
      </c>
      <c r="AV4" s="7">
        <f>IF($AE4=1,1.3*(IF(AJ4=1,1.4*BB$1,BB$1)),(IF(AJ4=1,1.4*BB$1,BB$1)))</f>
        <v>64.400000000000006</v>
      </c>
      <c r="AW4" s="7">
        <f>IF($AE4=1,1.3*(IF(AK4=1,1.4*BC$1,BC$1)),(IF(AK4=1,1.4*BC$1,BC$1)))</f>
        <v>1218</v>
      </c>
      <c r="AX4" s="7">
        <f>IF($AE4=1,1.3*(IF(AL4=1,1.4*BD$1,BD$1)),(IF(AL4=1,1.4*BD$1,BD$1)))</f>
        <v>315</v>
      </c>
      <c r="AY4" s="7">
        <f>IF($AE4=1,1.3*(IF(AM4=1,1.4*BE$1,BE$1)),(IF(AM4=1,1.4*BE$1,BE$1)))</f>
        <v>724.99999999999989</v>
      </c>
      <c r="AZ4" s="7">
        <f>IF($AE4=1,1.3*(IF(AN4=1,1.4*BF$1,BF$1)),(IF(AN4=1,1.4*BF$1,BF$1)))</f>
        <v>63</v>
      </c>
      <c r="BA4" s="7">
        <f>IF($AE4=1,1.3*(IF(AO4=1,1.4*BG$1,BG$1)),(IF(AO4=1,1.4*BG$1,BG$1)))</f>
        <v>53.9</v>
      </c>
      <c r="BB4" s="7">
        <f>IF($AE4=1,1.3*(IF(AP4=1,1.4*BH$1,BH$1)),(IF(AP4=1,1.4*BH$1,BH$1)))</f>
        <v>156.25</v>
      </c>
      <c r="BC4" s="9">
        <f>SUM(AR4:BB4)</f>
        <v>4739.45</v>
      </c>
      <c r="BD4">
        <f>BC4*4.2</f>
        <v>19905.689999999999</v>
      </c>
      <c r="BE4">
        <f t="shared" ref="BE4:BE41" si="2">BD4*2</f>
        <v>39811.379999999997</v>
      </c>
      <c r="BF4">
        <f>IF(AE4=1,$BK$1,$BL$1)</f>
        <v>13651</v>
      </c>
      <c r="BG4">
        <f>BF4-BD4</f>
        <v>-6254.6899999999987</v>
      </c>
      <c r="BH4">
        <f>(H4-BC4)*4.2</f>
        <v>13694.310000000001</v>
      </c>
    </row>
    <row r="5" spans="1:97" ht="115.2" x14ac:dyDescent="0.3">
      <c r="A5" s="3" t="s">
        <v>50</v>
      </c>
      <c r="B5" s="3" t="s">
        <v>45</v>
      </c>
      <c r="C5" s="3">
        <v>20</v>
      </c>
      <c r="D5" s="3" t="s">
        <v>32</v>
      </c>
      <c r="E5" s="3" t="s">
        <v>43</v>
      </c>
      <c r="F5" s="3">
        <v>60000</v>
      </c>
      <c r="G5" s="3" t="s">
        <v>127</v>
      </c>
      <c r="H5" s="3" t="s">
        <v>47</v>
      </c>
      <c r="I5" s="3" t="s">
        <v>38</v>
      </c>
      <c r="J5" s="3" t="s">
        <v>38</v>
      </c>
      <c r="K5" s="3" t="s">
        <v>38</v>
      </c>
      <c r="L5" s="3" t="s">
        <v>38</v>
      </c>
      <c r="M5" s="3" t="s">
        <v>38</v>
      </c>
      <c r="N5" s="3" t="s">
        <v>38</v>
      </c>
      <c r="O5" s="3" t="s">
        <v>39</v>
      </c>
      <c r="P5" s="3" t="s">
        <v>38</v>
      </c>
      <c r="Q5" s="3" t="s">
        <v>38</v>
      </c>
      <c r="R5" s="3" t="s">
        <v>39</v>
      </c>
      <c r="S5" s="3" t="s">
        <v>38</v>
      </c>
      <c r="T5" s="3" t="s">
        <v>42</v>
      </c>
      <c r="U5" s="3" t="s">
        <v>43</v>
      </c>
      <c r="V5" s="3" t="s">
        <v>42</v>
      </c>
      <c r="W5" s="3" t="s">
        <v>43</v>
      </c>
      <c r="X5" s="3" t="s">
        <v>42</v>
      </c>
      <c r="Y5" s="3" t="s">
        <v>42</v>
      </c>
      <c r="Z5" s="3" t="s">
        <v>43</v>
      </c>
      <c r="AA5" s="3" t="s">
        <v>42</v>
      </c>
      <c r="AB5" s="3" t="s">
        <v>42</v>
      </c>
      <c r="AC5" s="3" t="s">
        <v>43</v>
      </c>
      <c r="AD5" s="3" t="s">
        <v>42</v>
      </c>
      <c r="AE5" s="3">
        <f>IF(G27 = "Москва",1,0)</f>
        <v>1</v>
      </c>
      <c r="AF5">
        <f t="shared" ref="AF5:AF41" si="3">IF(T5="Да",1,0)</f>
        <v>1</v>
      </c>
      <c r="AG5">
        <f>IF(U4="Да",1,0)</f>
        <v>0</v>
      </c>
      <c r="AH5">
        <f>IF(V4="Да",1,0)</f>
        <v>0</v>
      </c>
      <c r="AI5">
        <f>IF(W4="Да",1,0)</f>
        <v>0</v>
      </c>
      <c r="AJ5">
        <f>IF(X4="Да",1,0)</f>
        <v>0</v>
      </c>
      <c r="AK5">
        <f>IF(Y4="Да",1,0)</f>
        <v>1</v>
      </c>
      <c r="AL5">
        <f>IF(Z4="Да",1,0)</f>
        <v>0</v>
      </c>
      <c r="AM5">
        <f>IF(AA4="Да",1,0)</f>
        <v>1</v>
      </c>
      <c r="AN5">
        <f>IF(AB4="Да",1,0)</f>
        <v>1</v>
      </c>
      <c r="AO5">
        <f>IF(AC4="Да",1,0)</f>
        <v>0</v>
      </c>
      <c r="AP5">
        <f>IF(AD4="Да",1,0)</f>
        <v>0</v>
      </c>
      <c r="AR5" s="7">
        <f>IF($AE5=1,1.3*(IF(AF5=1,1.4*AX$1,AX$1)),(IF(AF5=1,1.4*AX$1,AX$1)))</f>
        <v>396.9</v>
      </c>
      <c r="AS5" s="7">
        <f>IF($AE5=1,1.3*(IF(AG5=1,1.4*AY$1,AY$1)),(IF(AG5=1,1.4*AY$1,AY$1)))</f>
        <v>250.00000000000003</v>
      </c>
      <c r="AT5" s="7">
        <f>IF($AE5=1,1.3*(IF(AH5=1,1.4*AZ$1,AZ$1)),(IF(AH5=1,1.4*AZ$1,AZ$1)))</f>
        <v>855.00000000000011</v>
      </c>
      <c r="AU5" s="7">
        <f>IF($AE5=1,1.3*(IF(AI5=1,1.4*BA$1,BA$1)),(IF(AI5=1,1.4*BA$1,BA$1)))</f>
        <v>300</v>
      </c>
      <c r="AV5" s="7">
        <f>IF($AE5=1,1.3*(IF(AJ5=1,1.4*BB$1,BB$1)),(IF(AJ5=1,1.4*BB$1,BB$1)))</f>
        <v>46.000000000000007</v>
      </c>
      <c r="AW5" s="7">
        <f>IF($AE5=1,1.3*(IF(AK5=1,1.4*BC$1,BC$1)),(IF(AK5=1,1.4*BC$1,BC$1)))</f>
        <v>1218</v>
      </c>
      <c r="AX5" s="7">
        <f>IF($AE5=1,1.3*(IF(AL5=1,1.4*BD$1,BD$1)),(IF(AL5=1,1.4*BD$1,BD$1)))</f>
        <v>315</v>
      </c>
      <c r="AY5" s="7">
        <f>IF($AE5=1,1.3*(IF(AM5=1,1.4*BE$1,BE$1)),(IF(AM5=1,1.4*BE$1,BE$1)))</f>
        <v>1014.9999999999998</v>
      </c>
      <c r="AZ5" s="7">
        <f>IF($AE5=1,1.3*(IF(AN5=1,1.4*BF$1,BF$1)),(IF(AN5=1,1.4*BF$1,BF$1)))</f>
        <v>88.199999999999989</v>
      </c>
      <c r="BA5" s="7">
        <f>IF($AE5=1,1.3*(IF(AO5=1,1.4*BG$1,BG$1)),(IF(AO5=1,1.4*BG$1,BG$1)))</f>
        <v>38.5</v>
      </c>
      <c r="BB5" s="7">
        <f>IF($AE5=1,1.3*(IF(AP5=1,1.4*BH$1,BH$1)),(IF(AP5=1,1.4*BH$1,BH$1)))</f>
        <v>156.25</v>
      </c>
      <c r="BC5" s="9">
        <f>SUM(AR5:BB5)</f>
        <v>4678.8499999999995</v>
      </c>
      <c r="BD5">
        <f>BC5*4.2</f>
        <v>19651.169999999998</v>
      </c>
      <c r="BE5">
        <f t="shared" si="2"/>
        <v>39302.339999999997</v>
      </c>
      <c r="BF5">
        <f>IF(AE5=1,$BK$1,$BL$1)</f>
        <v>13651</v>
      </c>
      <c r="BG5">
        <f>BF5-BD5</f>
        <v>-6000.1699999999983</v>
      </c>
      <c r="BH5">
        <f>(H5-BC5)*4.2</f>
        <v>13948.830000000004</v>
      </c>
      <c r="BK5" s="17" t="s">
        <v>337</v>
      </c>
      <c r="BL5" s="5" t="s">
        <v>338</v>
      </c>
    </row>
    <row r="6" spans="1:97" ht="115.2" x14ac:dyDescent="0.3">
      <c r="A6" s="3" t="s">
        <v>51</v>
      </c>
      <c r="B6" s="3" t="s">
        <v>45</v>
      </c>
      <c r="C6" s="3">
        <v>20</v>
      </c>
      <c r="D6" s="3" t="s">
        <v>32</v>
      </c>
      <c r="E6" s="3" t="s">
        <v>33</v>
      </c>
      <c r="F6" s="3">
        <v>60000</v>
      </c>
      <c r="G6" s="3" t="s">
        <v>52</v>
      </c>
      <c r="H6" s="3" t="s">
        <v>53</v>
      </c>
      <c r="I6" s="3" t="s">
        <v>40</v>
      </c>
      <c r="J6" s="3" t="s">
        <v>48</v>
      </c>
      <c r="K6" s="3" t="s">
        <v>40</v>
      </c>
      <c r="L6" s="3" t="s">
        <v>38</v>
      </c>
      <c r="M6" s="3" t="s">
        <v>36</v>
      </c>
      <c r="N6" s="3" t="s">
        <v>38</v>
      </c>
      <c r="O6" s="3" t="s">
        <v>37</v>
      </c>
      <c r="P6" s="3" t="s">
        <v>40</v>
      </c>
      <c r="Q6" s="3" t="s">
        <v>38</v>
      </c>
      <c r="R6" s="3" t="s">
        <v>41</v>
      </c>
      <c r="S6" s="3" t="s">
        <v>49</v>
      </c>
      <c r="T6" s="3" t="s">
        <v>42</v>
      </c>
      <c r="U6" s="3" t="s">
        <v>43</v>
      </c>
      <c r="V6" s="3" t="s">
        <v>42</v>
      </c>
      <c r="W6" s="3" t="s">
        <v>42</v>
      </c>
      <c r="X6" s="3" t="s">
        <v>43</v>
      </c>
      <c r="Y6" s="3" t="s">
        <v>42</v>
      </c>
      <c r="Z6" s="3" t="s">
        <v>42</v>
      </c>
      <c r="AA6" s="3" t="s">
        <v>43</v>
      </c>
      <c r="AB6" s="3" t="s">
        <v>42</v>
      </c>
      <c r="AC6" s="3" t="s">
        <v>43</v>
      </c>
      <c r="AD6" s="3" t="s">
        <v>43</v>
      </c>
      <c r="AE6" s="3">
        <f>IF(G28 = "Москва",1,0)</f>
        <v>1</v>
      </c>
      <c r="AF6">
        <f t="shared" si="3"/>
        <v>1</v>
      </c>
      <c r="AG6">
        <f>IF(U5="Да",1,0)</f>
        <v>0</v>
      </c>
      <c r="AH6">
        <f>IF(V5="Да",1,0)</f>
        <v>1</v>
      </c>
      <c r="AI6">
        <f>IF(W5="Да",1,0)</f>
        <v>0</v>
      </c>
      <c r="AJ6">
        <f>IF(X5="Да",1,0)</f>
        <v>1</v>
      </c>
      <c r="AK6">
        <f>IF(Y5="Да",1,0)</f>
        <v>1</v>
      </c>
      <c r="AL6">
        <f>IF(Z5="Да",1,0)</f>
        <v>0</v>
      </c>
      <c r="AM6">
        <f>IF(AA5="Да",1,0)</f>
        <v>1</v>
      </c>
      <c r="AN6">
        <f>IF(AB5="Да",1,0)</f>
        <v>1</v>
      </c>
      <c r="AO6">
        <f>IF(AC5="Да",1,0)</f>
        <v>0</v>
      </c>
      <c r="AP6">
        <f>IF(AD5="Да",1,0)</f>
        <v>1</v>
      </c>
      <c r="AR6" s="7">
        <f>IF($AE6=1,1.3*(IF(AF6=1,1.4*AX$1,AX$1)),(IF(AF6=1,1.4*AX$1,AX$1)))</f>
        <v>396.9</v>
      </c>
      <c r="AS6" s="7">
        <f>IF($AE6=1,1.3*(IF(AG6=1,1.4*AY$1,AY$1)),(IF(AG6=1,1.4*AY$1,AY$1)))</f>
        <v>250.00000000000003</v>
      </c>
      <c r="AT6" s="7">
        <f>IF($AE6=1,1.3*(IF(AH6=1,1.4*AZ$1,AZ$1)),(IF(AH6=1,1.4*AZ$1,AZ$1)))</f>
        <v>1197</v>
      </c>
      <c r="AU6" s="7">
        <f>IF($AE6=1,1.3*(IF(AI6=1,1.4*BA$1,BA$1)),(IF(AI6=1,1.4*BA$1,BA$1)))</f>
        <v>300</v>
      </c>
      <c r="AV6" s="7">
        <f>IF($AE6=1,1.3*(IF(AJ6=1,1.4*BB$1,BB$1)),(IF(AJ6=1,1.4*BB$1,BB$1)))</f>
        <v>64.400000000000006</v>
      </c>
      <c r="AW6" s="7">
        <f>IF($AE6=1,1.3*(IF(AK6=1,1.4*BC$1,BC$1)),(IF(AK6=1,1.4*BC$1,BC$1)))</f>
        <v>1218</v>
      </c>
      <c r="AX6" s="7">
        <f>IF($AE6=1,1.3*(IF(AL6=1,1.4*BD$1,BD$1)),(IF(AL6=1,1.4*BD$1,BD$1)))</f>
        <v>315</v>
      </c>
      <c r="AY6" s="7">
        <f>IF($AE6=1,1.3*(IF(AM6=1,1.4*BE$1,BE$1)),(IF(AM6=1,1.4*BE$1,BE$1)))</f>
        <v>1014.9999999999998</v>
      </c>
      <c r="AZ6" s="7">
        <f>IF($AE6=1,1.3*(IF(AN6=1,1.4*BF$1,BF$1)),(IF(AN6=1,1.4*BF$1,BF$1)))</f>
        <v>88.199999999999989</v>
      </c>
      <c r="BA6" s="7">
        <f>IF($AE6=1,1.3*(IF(AO6=1,1.4*BG$1,BG$1)),(IF(AO6=1,1.4*BG$1,BG$1)))</f>
        <v>38.5</v>
      </c>
      <c r="BB6" s="7">
        <f>IF($AE6=1,1.3*(IF(AP6=1,1.4*BH$1,BH$1)),(IF(AP6=1,1.4*BH$1,BH$1)))</f>
        <v>218.75</v>
      </c>
      <c r="BC6" s="9">
        <f>SUM(AR6:BB6)</f>
        <v>5101.75</v>
      </c>
      <c r="BD6">
        <f>BC6*4.2</f>
        <v>21427.350000000002</v>
      </c>
      <c r="BE6">
        <f t="shared" si="2"/>
        <v>42854.700000000004</v>
      </c>
      <c r="BF6">
        <f>IF(AE6=1,$BK$1,$BL$1)</f>
        <v>13651</v>
      </c>
      <c r="BG6">
        <f>BF6-BD6</f>
        <v>-7776.3500000000022</v>
      </c>
      <c r="BH6">
        <f>(H6-BC6)*4.2</f>
        <v>-4627.3500000000004</v>
      </c>
      <c r="BK6">
        <v>13651</v>
      </c>
      <c r="BL6">
        <v>9230</v>
      </c>
    </row>
    <row r="7" spans="1:97" ht="115.2" x14ac:dyDescent="0.3">
      <c r="A7" s="3" t="s">
        <v>54</v>
      </c>
      <c r="B7" s="3" t="s">
        <v>45</v>
      </c>
      <c r="C7" s="3">
        <v>20</v>
      </c>
      <c r="D7" s="3" t="s">
        <v>32</v>
      </c>
      <c r="E7" s="3" t="s">
        <v>33</v>
      </c>
      <c r="F7" s="3">
        <v>60000</v>
      </c>
      <c r="G7" s="3" t="s">
        <v>127</v>
      </c>
      <c r="H7" s="3" t="s">
        <v>55</v>
      </c>
      <c r="I7" s="3" t="s">
        <v>38</v>
      </c>
      <c r="J7" s="3" t="s">
        <v>38</v>
      </c>
      <c r="K7" s="3" t="s">
        <v>38</v>
      </c>
      <c r="L7" s="3" t="s">
        <v>38</v>
      </c>
      <c r="M7" s="3" t="s">
        <v>39</v>
      </c>
      <c r="N7" s="3" t="s">
        <v>38</v>
      </c>
      <c r="O7" s="3" t="s">
        <v>38</v>
      </c>
      <c r="P7" s="3" t="s">
        <v>38</v>
      </c>
      <c r="Q7" s="3" t="s">
        <v>38</v>
      </c>
      <c r="R7" s="3" t="s">
        <v>38</v>
      </c>
      <c r="S7" s="3" t="s">
        <v>37</v>
      </c>
      <c r="T7" s="3" t="s">
        <v>43</v>
      </c>
      <c r="U7" s="3" t="s">
        <v>42</v>
      </c>
      <c r="V7" s="3" t="s">
        <v>42</v>
      </c>
      <c r="W7" s="3" t="s">
        <v>42</v>
      </c>
      <c r="X7" s="3" t="s">
        <v>43</v>
      </c>
      <c r="Y7" s="3" t="s">
        <v>42</v>
      </c>
      <c r="Z7" s="3" t="s">
        <v>42</v>
      </c>
      <c r="AA7" s="3" t="s">
        <v>42</v>
      </c>
      <c r="AB7" s="3" t="s">
        <v>42</v>
      </c>
      <c r="AC7" s="3" t="s">
        <v>43</v>
      </c>
      <c r="AD7" s="3" t="s">
        <v>43</v>
      </c>
      <c r="AE7" s="3">
        <f>IF(G29 = "Москва",1,0)</f>
        <v>1</v>
      </c>
      <c r="AF7">
        <f t="shared" si="3"/>
        <v>0</v>
      </c>
      <c r="AG7">
        <f>IF(U6="Да",1,0)</f>
        <v>0</v>
      </c>
      <c r="AH7">
        <f>IF(V6="Да",1,0)</f>
        <v>1</v>
      </c>
      <c r="AI7">
        <f>IF(W6="Да",1,0)</f>
        <v>1</v>
      </c>
      <c r="AJ7">
        <f>IF(X6="Да",1,0)</f>
        <v>0</v>
      </c>
      <c r="AK7">
        <f>IF(Y6="Да",1,0)</f>
        <v>1</v>
      </c>
      <c r="AL7">
        <f>IF(Z6="Да",1,0)</f>
        <v>1</v>
      </c>
      <c r="AM7">
        <f>IF(AA6="Да",1,0)</f>
        <v>0</v>
      </c>
      <c r="AN7">
        <f>IF(AB6="Да",1,0)</f>
        <v>1</v>
      </c>
      <c r="AO7">
        <f>IF(AC6="Да",1,0)</f>
        <v>0</v>
      </c>
      <c r="AP7">
        <f>IF(AD6="Да",1,0)</f>
        <v>0</v>
      </c>
      <c r="AR7" s="7">
        <f>IF($AE7=1,1.3*(IF(AF7=1,1.4*AX$1,AX$1)),(IF(AF7=1,1.4*AX$1,AX$1)))</f>
        <v>283.5</v>
      </c>
      <c r="AS7" s="7">
        <f>IF($AE7=1,1.3*(IF(AG7=1,1.4*AY$1,AY$1)),(IF(AG7=1,1.4*AY$1,AY$1)))</f>
        <v>250.00000000000003</v>
      </c>
      <c r="AT7" s="7">
        <f>IF($AE7=1,1.3*(IF(AH7=1,1.4*AZ$1,AZ$1)),(IF(AH7=1,1.4*AZ$1,AZ$1)))</f>
        <v>1197</v>
      </c>
      <c r="AU7" s="7">
        <f>IF($AE7=1,1.3*(IF(AI7=1,1.4*BA$1,BA$1)),(IF(AI7=1,1.4*BA$1,BA$1)))</f>
        <v>419.99999999999994</v>
      </c>
      <c r="AV7" s="7">
        <f>IF($AE7=1,1.3*(IF(AJ7=1,1.4*BB$1,BB$1)),(IF(AJ7=1,1.4*BB$1,BB$1)))</f>
        <v>46.000000000000007</v>
      </c>
      <c r="AW7" s="7">
        <f>IF($AE7=1,1.3*(IF(AK7=1,1.4*BC$1,BC$1)),(IF(AK7=1,1.4*BC$1,BC$1)))</f>
        <v>1218</v>
      </c>
      <c r="AX7" s="7">
        <f>IF($AE7=1,1.3*(IF(AL7=1,1.4*BD$1,BD$1)),(IF(AL7=1,1.4*BD$1,BD$1)))</f>
        <v>440.99999999999994</v>
      </c>
      <c r="AY7" s="7">
        <f>IF($AE7=1,1.3*(IF(AM7=1,1.4*BE$1,BE$1)),(IF(AM7=1,1.4*BE$1,BE$1)))</f>
        <v>724.99999999999989</v>
      </c>
      <c r="AZ7" s="7">
        <f>IF($AE7=1,1.3*(IF(AN7=1,1.4*BF$1,BF$1)),(IF(AN7=1,1.4*BF$1,BF$1)))</f>
        <v>88.199999999999989</v>
      </c>
      <c r="BA7" s="7">
        <f>IF($AE7=1,1.3*(IF(AO7=1,1.4*BG$1,BG$1)),(IF(AO7=1,1.4*BG$1,BG$1)))</f>
        <v>38.5</v>
      </c>
      <c r="BB7" s="7">
        <f>IF($AE7=1,1.3*(IF(AP7=1,1.4*BH$1,BH$1)),(IF(AP7=1,1.4*BH$1,BH$1)))</f>
        <v>156.25</v>
      </c>
      <c r="BC7" s="9">
        <f>SUM(AR7:BB7)</f>
        <v>4863.45</v>
      </c>
      <c r="BD7">
        <f>BC7*4.2</f>
        <v>20426.490000000002</v>
      </c>
      <c r="BE7">
        <f t="shared" si="2"/>
        <v>40852.980000000003</v>
      </c>
      <c r="BF7">
        <f>IF(AE7=1,$BK$1,$BL$1)</f>
        <v>13651</v>
      </c>
      <c r="BG7">
        <f>BF7-BD7</f>
        <v>-6775.4900000000016</v>
      </c>
      <c r="BH7">
        <f>(H7-BC7)*4.2</f>
        <v>573.51000000000079</v>
      </c>
    </row>
    <row r="8" spans="1:97" ht="144" x14ac:dyDescent="0.3">
      <c r="A8" s="3" t="s">
        <v>56</v>
      </c>
      <c r="B8" s="3" t="s">
        <v>45</v>
      </c>
      <c r="C8" s="3">
        <v>20</v>
      </c>
      <c r="D8" s="3" t="s">
        <v>46</v>
      </c>
      <c r="E8" s="3" t="s">
        <v>57</v>
      </c>
      <c r="F8" s="3">
        <v>21000</v>
      </c>
      <c r="G8" s="3" t="s">
        <v>58</v>
      </c>
      <c r="H8" s="3" t="s">
        <v>55</v>
      </c>
      <c r="I8" s="3" t="s">
        <v>39</v>
      </c>
      <c r="J8" s="3" t="s">
        <v>41</v>
      </c>
      <c r="K8" s="3" t="s">
        <v>37</v>
      </c>
      <c r="L8" s="3" t="s">
        <v>37</v>
      </c>
      <c r="M8" s="3" t="s">
        <v>39</v>
      </c>
      <c r="N8" s="3" t="s">
        <v>38</v>
      </c>
      <c r="O8" s="3" t="s">
        <v>36</v>
      </c>
      <c r="P8" s="3" t="s">
        <v>37</v>
      </c>
      <c r="Q8" s="3" t="s">
        <v>39</v>
      </c>
      <c r="R8" s="3" t="s">
        <v>49</v>
      </c>
      <c r="S8" s="3" t="s">
        <v>59</v>
      </c>
      <c r="T8" s="3" t="s">
        <v>43</v>
      </c>
      <c r="U8" s="3" t="s">
        <v>43</v>
      </c>
      <c r="V8" s="3" t="s">
        <v>42</v>
      </c>
      <c r="W8" s="3" t="s">
        <v>42</v>
      </c>
      <c r="X8" s="3" t="s">
        <v>42</v>
      </c>
      <c r="Y8" s="3" t="s">
        <v>42</v>
      </c>
      <c r="Z8" s="3" t="s">
        <v>42</v>
      </c>
      <c r="AA8" s="3" t="s">
        <v>42</v>
      </c>
      <c r="AB8" s="3" t="s">
        <v>42</v>
      </c>
      <c r="AC8" s="3" t="s">
        <v>43</v>
      </c>
      <c r="AD8" s="3" t="s">
        <v>42</v>
      </c>
      <c r="AE8" s="3">
        <f>IF(G30 = "Москва",1,0)</f>
        <v>1</v>
      </c>
      <c r="AF8">
        <f t="shared" si="3"/>
        <v>0</v>
      </c>
      <c r="AG8">
        <f>IF(U7="Да",1,0)</f>
        <v>1</v>
      </c>
      <c r="AH8">
        <f>IF(V7="Да",1,0)</f>
        <v>1</v>
      </c>
      <c r="AI8">
        <f>IF(W7="Да",1,0)</f>
        <v>1</v>
      </c>
      <c r="AJ8">
        <f>IF(X7="Да",1,0)</f>
        <v>0</v>
      </c>
      <c r="AK8">
        <f>IF(Y7="Да",1,0)</f>
        <v>1</v>
      </c>
      <c r="AL8">
        <f>IF(Z7="Да",1,0)</f>
        <v>1</v>
      </c>
      <c r="AM8">
        <f>IF(AA7="Да",1,0)</f>
        <v>1</v>
      </c>
      <c r="AN8">
        <f>IF(AB7="Да",1,0)</f>
        <v>1</v>
      </c>
      <c r="AO8">
        <f>IF(AC7="Да",1,0)</f>
        <v>0</v>
      </c>
      <c r="AP8">
        <f>IF(AD7="Да",1,0)</f>
        <v>0</v>
      </c>
      <c r="AR8" s="7">
        <f>IF($AE8=1,1.3*(IF(AF8=1,1.4*AX$1,AX$1)),(IF(AF8=1,1.4*AX$1,AX$1)))</f>
        <v>283.5</v>
      </c>
      <c r="AS8" s="7">
        <f>IF($AE8=1,1.3*(IF(AG8=1,1.4*AY$1,AY$1)),(IF(AG8=1,1.4*AY$1,AY$1)))</f>
        <v>350</v>
      </c>
      <c r="AT8" s="7">
        <f>IF($AE8=1,1.3*(IF(AH8=1,1.4*AZ$1,AZ$1)),(IF(AH8=1,1.4*AZ$1,AZ$1)))</f>
        <v>1197</v>
      </c>
      <c r="AU8" s="7">
        <f>IF($AE8=1,1.3*(IF(AI8=1,1.4*BA$1,BA$1)),(IF(AI8=1,1.4*BA$1,BA$1)))</f>
        <v>419.99999999999994</v>
      </c>
      <c r="AV8" s="7">
        <f>IF($AE8=1,1.3*(IF(AJ8=1,1.4*BB$1,BB$1)),(IF(AJ8=1,1.4*BB$1,BB$1)))</f>
        <v>46.000000000000007</v>
      </c>
      <c r="AW8" s="7">
        <f>IF($AE8=1,1.3*(IF(AK8=1,1.4*BC$1,BC$1)),(IF(AK8=1,1.4*BC$1,BC$1)))</f>
        <v>1218</v>
      </c>
      <c r="AX8" s="7">
        <f>IF($AE8=1,1.3*(IF(AL8=1,1.4*BD$1,BD$1)),(IF(AL8=1,1.4*BD$1,BD$1)))</f>
        <v>440.99999999999994</v>
      </c>
      <c r="AY8" s="7">
        <f>IF($AE8=1,1.3*(IF(AM8=1,1.4*BE$1,BE$1)),(IF(AM8=1,1.4*BE$1,BE$1)))</f>
        <v>1014.9999999999998</v>
      </c>
      <c r="AZ8" s="7">
        <f>IF($AE8=1,1.3*(IF(AN8=1,1.4*BF$1,BF$1)),(IF(AN8=1,1.4*BF$1,BF$1)))</f>
        <v>88.199999999999989</v>
      </c>
      <c r="BA8" s="7">
        <f>IF($AE8=1,1.3*(IF(AO8=1,1.4*BG$1,BG$1)),(IF(AO8=1,1.4*BG$1,BG$1)))</f>
        <v>38.5</v>
      </c>
      <c r="BB8" s="7">
        <f>IF($AE8=1,1.3*(IF(AP8=1,1.4*BH$1,BH$1)),(IF(AP8=1,1.4*BH$1,BH$1)))</f>
        <v>156.25</v>
      </c>
      <c r="BC8" s="9">
        <f>SUM(AR8:BB8)</f>
        <v>5253.45</v>
      </c>
      <c r="BD8">
        <f>BC8*4.2</f>
        <v>22064.49</v>
      </c>
      <c r="BE8">
        <f t="shared" si="2"/>
        <v>44128.98</v>
      </c>
      <c r="BF8">
        <f>IF(AE8=1,$BK$1,$BL$1)</f>
        <v>13651</v>
      </c>
      <c r="BG8">
        <f>BF8-BD8</f>
        <v>-8413.4900000000016</v>
      </c>
      <c r="BH8">
        <f>(H8-BC8)*4.2</f>
        <v>-1064.4899999999993</v>
      </c>
    </row>
    <row r="9" spans="1:97" ht="115.2" x14ac:dyDescent="0.3">
      <c r="A9" s="3" t="s">
        <v>60</v>
      </c>
      <c r="B9" s="3" t="s">
        <v>31</v>
      </c>
      <c r="C9" s="3">
        <v>20</v>
      </c>
      <c r="D9" s="3" t="s">
        <v>32</v>
      </c>
      <c r="E9" s="3" t="s">
        <v>43</v>
      </c>
      <c r="F9" s="3">
        <v>12000</v>
      </c>
      <c r="G9" s="3" t="s">
        <v>127</v>
      </c>
      <c r="H9" s="3" t="s">
        <v>61</v>
      </c>
      <c r="I9" s="3" t="s">
        <v>40</v>
      </c>
      <c r="J9" s="3" t="s">
        <v>48</v>
      </c>
      <c r="K9" s="3" t="s">
        <v>38</v>
      </c>
      <c r="L9" s="3" t="s">
        <v>38</v>
      </c>
      <c r="M9" s="3" t="s">
        <v>48</v>
      </c>
      <c r="N9" s="3" t="s">
        <v>38</v>
      </c>
      <c r="O9" s="3" t="s">
        <v>40</v>
      </c>
      <c r="P9" s="3" t="s">
        <v>40</v>
      </c>
      <c r="Q9" s="3" t="s">
        <v>38</v>
      </c>
      <c r="R9" s="3" t="s">
        <v>39</v>
      </c>
      <c r="S9" s="3" t="s">
        <v>38</v>
      </c>
      <c r="T9" s="3" t="s">
        <v>43</v>
      </c>
      <c r="U9" s="3" t="s">
        <v>43</v>
      </c>
      <c r="V9" s="3" t="s">
        <v>42</v>
      </c>
      <c r="W9" s="3" t="s">
        <v>42</v>
      </c>
      <c r="X9" s="3" t="s">
        <v>43</v>
      </c>
      <c r="Y9" s="3" t="s">
        <v>42</v>
      </c>
      <c r="Z9" s="3" t="s">
        <v>43</v>
      </c>
      <c r="AA9" s="3" t="s">
        <v>43</v>
      </c>
      <c r="AB9" s="3" t="s">
        <v>42</v>
      </c>
      <c r="AC9" s="3" t="s">
        <v>43</v>
      </c>
      <c r="AD9" s="3" t="s">
        <v>42</v>
      </c>
      <c r="AE9" s="3">
        <f>IF(G31 = "Москва",1,0)</f>
        <v>0</v>
      </c>
      <c r="AF9">
        <f t="shared" si="3"/>
        <v>0</v>
      </c>
      <c r="AG9">
        <f>IF(U8="Да",1,0)</f>
        <v>0</v>
      </c>
      <c r="AH9">
        <f>IF(V8="Да",1,0)</f>
        <v>1</v>
      </c>
      <c r="AI9">
        <f>IF(W8="Да",1,0)</f>
        <v>1</v>
      </c>
      <c r="AJ9">
        <f>IF(X8="Да",1,0)</f>
        <v>1</v>
      </c>
      <c r="AK9">
        <f>IF(Y8="Да",1,0)</f>
        <v>1</v>
      </c>
      <c r="AL9">
        <f>IF(Z8="Да",1,0)</f>
        <v>1</v>
      </c>
      <c r="AM9">
        <f>IF(AA8="Да",1,0)</f>
        <v>1</v>
      </c>
      <c r="AN9">
        <f>IF(AB8="Да",1,0)</f>
        <v>1</v>
      </c>
      <c r="AO9">
        <f>IF(AC8="Да",1,0)</f>
        <v>0</v>
      </c>
      <c r="AP9">
        <f>IF(AD8="Да",1,0)</f>
        <v>1</v>
      </c>
      <c r="AR9" s="7">
        <f>IF($AE9=1,1.3*(IF(AF9=1,1.4*AX$1,AX$1)),(IF(AF9=1,1.4*AX$1,AX$1)))</f>
        <v>218.07692307692307</v>
      </c>
      <c r="AS9" s="7">
        <f>IF($AE9=1,1.3*(IF(AG9=1,1.4*AY$1,AY$1)),(IF(AG9=1,1.4*AY$1,AY$1)))</f>
        <v>192.30769230769232</v>
      </c>
      <c r="AT9" s="7">
        <f>IF($AE9=1,1.3*(IF(AH9=1,1.4*AZ$1,AZ$1)),(IF(AH9=1,1.4*AZ$1,AZ$1)))</f>
        <v>920.76923076923072</v>
      </c>
      <c r="AU9" s="7">
        <f>IF($AE9=1,1.3*(IF(AI9=1,1.4*BA$1,BA$1)),(IF(AI9=1,1.4*BA$1,BA$1)))</f>
        <v>323.07692307692304</v>
      </c>
      <c r="AV9" s="7">
        <f>IF($AE9=1,1.3*(IF(AJ9=1,1.4*BB$1,BB$1)),(IF(AJ9=1,1.4*BB$1,BB$1)))</f>
        <v>49.53846153846154</v>
      </c>
      <c r="AW9" s="7">
        <f>IF($AE9=1,1.3*(IF(AK9=1,1.4*BC$1,BC$1)),(IF(AK9=1,1.4*BC$1,BC$1)))</f>
        <v>936.92307692307691</v>
      </c>
      <c r="AX9" s="7">
        <f>IF($AE9=1,1.3*(IF(AL9=1,1.4*BD$1,BD$1)),(IF(AL9=1,1.4*BD$1,BD$1)))</f>
        <v>339.23076923076917</v>
      </c>
      <c r="AY9" s="7">
        <f>IF($AE9=1,1.3*(IF(AM9=1,1.4*BE$1,BE$1)),(IF(AM9=1,1.4*BE$1,BE$1)))</f>
        <v>780.7692307692306</v>
      </c>
      <c r="AZ9" s="7">
        <f>IF($AE9=1,1.3*(IF(AN9=1,1.4*BF$1,BF$1)),(IF(AN9=1,1.4*BF$1,BF$1)))</f>
        <v>67.84615384615384</v>
      </c>
      <c r="BA9" s="7">
        <f>IF($AE9=1,1.3*(IF(AO9=1,1.4*BG$1,BG$1)),(IF(AO9=1,1.4*BG$1,BG$1)))</f>
        <v>29.615384615384617</v>
      </c>
      <c r="BB9" s="7">
        <f>IF($AE9=1,1.3*(IF(AP9=1,1.4*BH$1,BH$1)),(IF(AP9=1,1.4*BH$1,BH$1)))</f>
        <v>168.26923076923077</v>
      </c>
      <c r="BC9" s="9">
        <f>SUM(AR9:BB9)</f>
        <v>4026.4230769230767</v>
      </c>
      <c r="BD9">
        <f>BC9*4.2</f>
        <v>16910.976923076923</v>
      </c>
      <c r="BE9">
        <f t="shared" si="2"/>
        <v>33821.953846153847</v>
      </c>
      <c r="BF9">
        <f>IF(AE9=1,$BK$1,$BL$1)</f>
        <v>9230</v>
      </c>
      <c r="BG9">
        <f>BF9-BD9</f>
        <v>-7680.9769230769234</v>
      </c>
      <c r="BH9">
        <f>(H9-BC9)*4.2</f>
        <v>-4310.9769230769225</v>
      </c>
    </row>
    <row r="10" spans="1:97" ht="115.2" x14ac:dyDescent="0.3">
      <c r="A10" s="3" t="s">
        <v>62</v>
      </c>
      <c r="B10" s="3" t="s">
        <v>45</v>
      </c>
      <c r="C10" s="3">
        <v>20</v>
      </c>
      <c r="D10" s="3" t="s">
        <v>32</v>
      </c>
      <c r="E10" s="3" t="s">
        <v>57</v>
      </c>
      <c r="F10" s="3">
        <v>60000</v>
      </c>
      <c r="G10" s="3" t="s">
        <v>63</v>
      </c>
      <c r="H10" s="3" t="s">
        <v>53</v>
      </c>
      <c r="I10" s="3" t="s">
        <v>38</v>
      </c>
      <c r="J10" s="3" t="s">
        <v>40</v>
      </c>
      <c r="K10" s="3" t="s">
        <v>59</v>
      </c>
      <c r="L10" s="3" t="s">
        <v>37</v>
      </c>
      <c r="M10" s="3" t="s">
        <v>49</v>
      </c>
      <c r="N10" s="3" t="s">
        <v>38</v>
      </c>
      <c r="O10" s="3" t="s">
        <v>49</v>
      </c>
      <c r="P10" s="3" t="s">
        <v>36</v>
      </c>
      <c r="Q10" s="3" t="s">
        <v>36</v>
      </c>
      <c r="R10" s="3" t="s">
        <v>35</v>
      </c>
      <c r="S10" s="3" t="s">
        <v>59</v>
      </c>
      <c r="T10" s="3" t="s">
        <v>42</v>
      </c>
      <c r="U10" s="3" t="s">
        <v>43</v>
      </c>
      <c r="V10" s="3" t="s">
        <v>42</v>
      </c>
      <c r="W10" s="3" t="s">
        <v>42</v>
      </c>
      <c r="X10" s="3" t="s">
        <v>43</v>
      </c>
      <c r="Y10" s="3" t="s">
        <v>42</v>
      </c>
      <c r="Z10" s="3" t="s">
        <v>43</v>
      </c>
      <c r="AA10" s="3" t="s">
        <v>43</v>
      </c>
      <c r="AB10" s="3" t="s">
        <v>42</v>
      </c>
      <c r="AC10" s="3" t="s">
        <v>43</v>
      </c>
      <c r="AD10" s="3" t="s">
        <v>42</v>
      </c>
      <c r="AE10" s="3">
        <f>IF(G32 = "Москва",1,0)</f>
        <v>1</v>
      </c>
      <c r="AF10">
        <f t="shared" si="3"/>
        <v>1</v>
      </c>
      <c r="AG10">
        <f>IF(U9="Да",1,0)</f>
        <v>0</v>
      </c>
      <c r="AH10">
        <f>IF(V9="Да",1,0)</f>
        <v>1</v>
      </c>
      <c r="AI10">
        <f>IF(W9="Да",1,0)</f>
        <v>1</v>
      </c>
      <c r="AJ10">
        <f>IF(X9="Да",1,0)</f>
        <v>0</v>
      </c>
      <c r="AK10">
        <f>IF(Y9="Да",1,0)</f>
        <v>1</v>
      </c>
      <c r="AL10">
        <f>IF(Z9="Да",1,0)</f>
        <v>0</v>
      </c>
      <c r="AM10">
        <f>IF(AA9="Да",1,0)</f>
        <v>0</v>
      </c>
      <c r="AN10">
        <f>IF(AB9="Да",1,0)</f>
        <v>1</v>
      </c>
      <c r="AO10">
        <f>IF(AC9="Да",1,0)</f>
        <v>0</v>
      </c>
      <c r="AP10">
        <f>IF(AD9="Да",1,0)</f>
        <v>1</v>
      </c>
      <c r="AR10" s="7">
        <f>IF($AE10=1,1.3*(IF(AF10=1,1.4*AX$1,AX$1)),(IF(AF10=1,1.4*AX$1,AX$1)))</f>
        <v>396.9</v>
      </c>
      <c r="AS10" s="7">
        <f>IF($AE10=1,1.3*(IF(AG10=1,1.4*AY$1,AY$1)),(IF(AG10=1,1.4*AY$1,AY$1)))</f>
        <v>250.00000000000003</v>
      </c>
      <c r="AT10" s="7">
        <f>IF($AE10=1,1.3*(IF(AH10=1,1.4*AZ$1,AZ$1)),(IF(AH10=1,1.4*AZ$1,AZ$1)))</f>
        <v>1197</v>
      </c>
      <c r="AU10" s="7">
        <f>IF($AE10=1,1.3*(IF(AI10=1,1.4*BA$1,BA$1)),(IF(AI10=1,1.4*BA$1,BA$1)))</f>
        <v>419.99999999999994</v>
      </c>
      <c r="AV10" s="7">
        <f>IF($AE10=1,1.3*(IF(AJ10=1,1.4*BB$1,BB$1)),(IF(AJ10=1,1.4*BB$1,BB$1)))</f>
        <v>46.000000000000007</v>
      </c>
      <c r="AW10" s="7">
        <f>IF($AE10=1,1.3*(IF(AK10=1,1.4*BC$1,BC$1)),(IF(AK10=1,1.4*BC$1,BC$1)))</f>
        <v>1218</v>
      </c>
      <c r="AX10" s="7">
        <f>IF($AE10=1,1.3*(IF(AL10=1,1.4*BD$1,BD$1)),(IF(AL10=1,1.4*BD$1,BD$1)))</f>
        <v>315</v>
      </c>
      <c r="AY10" s="7">
        <f>IF($AE10=1,1.3*(IF(AM10=1,1.4*BE$1,BE$1)),(IF(AM10=1,1.4*BE$1,BE$1)))</f>
        <v>724.99999999999989</v>
      </c>
      <c r="AZ10" s="7">
        <f>IF($AE10=1,1.3*(IF(AN10=1,1.4*BF$1,BF$1)),(IF(AN10=1,1.4*BF$1,BF$1)))</f>
        <v>88.199999999999989</v>
      </c>
      <c r="BA10" s="7">
        <f>IF($AE10=1,1.3*(IF(AO10=1,1.4*BG$1,BG$1)),(IF(AO10=1,1.4*BG$1,BG$1)))</f>
        <v>38.5</v>
      </c>
      <c r="BB10" s="7">
        <f>IF($AE10=1,1.3*(IF(AP10=1,1.4*BH$1,BH$1)),(IF(AP10=1,1.4*BH$1,BH$1)))</f>
        <v>218.75</v>
      </c>
      <c r="BC10" s="9">
        <f>SUM(AR10:BB10)</f>
        <v>4913.3499999999995</v>
      </c>
      <c r="BD10">
        <f>BC10*4.2</f>
        <v>20636.07</v>
      </c>
      <c r="BE10">
        <f t="shared" si="2"/>
        <v>41272.14</v>
      </c>
      <c r="BF10">
        <f>IF(AE10=1,$BK$1,$BL$1)</f>
        <v>13651</v>
      </c>
      <c r="BG10">
        <f>BF10-BD10</f>
        <v>-6985.07</v>
      </c>
      <c r="BH10">
        <f>(H10-BC10)*4.2</f>
        <v>-3836.0699999999979</v>
      </c>
    </row>
    <row r="11" spans="1:97" ht="144" x14ac:dyDescent="0.3">
      <c r="A11" s="3" t="s">
        <v>64</v>
      </c>
      <c r="B11" s="3" t="s">
        <v>45</v>
      </c>
      <c r="C11" s="3">
        <v>20</v>
      </c>
      <c r="D11" s="3" t="s">
        <v>46</v>
      </c>
      <c r="E11" s="3" t="s">
        <v>57</v>
      </c>
      <c r="F11" s="3">
        <v>60000</v>
      </c>
      <c r="G11" s="3" t="s">
        <v>127</v>
      </c>
      <c r="H11" s="3" t="s">
        <v>65</v>
      </c>
      <c r="I11" s="3" t="s">
        <v>37</v>
      </c>
      <c r="J11" s="3" t="s">
        <v>40</v>
      </c>
      <c r="K11" s="3" t="s">
        <v>36</v>
      </c>
      <c r="L11" s="3" t="s">
        <v>36</v>
      </c>
      <c r="M11" s="3" t="s">
        <v>49</v>
      </c>
      <c r="N11" s="3" t="s">
        <v>38</v>
      </c>
      <c r="O11" s="3" t="s">
        <v>37</v>
      </c>
      <c r="P11" s="3" t="s">
        <v>40</v>
      </c>
      <c r="Q11" s="3" t="s">
        <v>38</v>
      </c>
      <c r="R11" s="3" t="s">
        <v>36</v>
      </c>
      <c r="S11" s="3" t="s">
        <v>36</v>
      </c>
      <c r="T11" s="3" t="s">
        <v>42</v>
      </c>
      <c r="U11" s="3" t="s">
        <v>43</v>
      </c>
      <c r="V11" s="3" t="s">
        <v>43</v>
      </c>
      <c r="W11" s="3" t="s">
        <v>43</v>
      </c>
      <c r="X11" s="3" t="s">
        <v>42</v>
      </c>
      <c r="Y11" s="3" t="s">
        <v>42</v>
      </c>
      <c r="Z11" s="3" t="s">
        <v>43</v>
      </c>
      <c r="AA11" s="3" t="s">
        <v>43</v>
      </c>
      <c r="AB11" s="3" t="s">
        <v>42</v>
      </c>
      <c r="AC11" s="3" t="s">
        <v>43</v>
      </c>
      <c r="AD11" s="3" t="s">
        <v>42</v>
      </c>
      <c r="AE11" s="3">
        <f>IF(G33 = "Москва",1,0)</f>
        <v>0</v>
      </c>
      <c r="AF11">
        <f t="shared" si="3"/>
        <v>1</v>
      </c>
      <c r="AG11">
        <f>IF(U10="Да",1,0)</f>
        <v>0</v>
      </c>
      <c r="AH11">
        <f>IF(V10="Да",1,0)</f>
        <v>1</v>
      </c>
      <c r="AI11">
        <f>IF(W10="Да",1,0)</f>
        <v>1</v>
      </c>
      <c r="AJ11">
        <f>IF(X10="Да",1,0)</f>
        <v>0</v>
      </c>
      <c r="AK11">
        <f>IF(Y10="Да",1,0)</f>
        <v>1</v>
      </c>
      <c r="AL11">
        <f>IF(Z10="Да",1,0)</f>
        <v>0</v>
      </c>
      <c r="AM11">
        <f>IF(AA10="Да",1,0)</f>
        <v>0</v>
      </c>
      <c r="AN11">
        <f>IF(AB10="Да",1,0)</f>
        <v>1</v>
      </c>
      <c r="AO11">
        <f>IF(AC10="Да",1,0)</f>
        <v>0</v>
      </c>
      <c r="AP11">
        <f>IF(AD10="Да",1,0)</f>
        <v>1</v>
      </c>
      <c r="AR11" s="7">
        <f>IF($AE11=1,1.3*(IF(AF11=1,1.4*AX$1,AX$1)),(IF(AF11=1,1.4*AX$1,AX$1)))</f>
        <v>305.30769230769226</v>
      </c>
      <c r="AS11" s="7">
        <f>IF($AE11=1,1.3*(IF(AG11=1,1.4*AY$1,AY$1)),(IF(AG11=1,1.4*AY$1,AY$1)))</f>
        <v>192.30769230769232</v>
      </c>
      <c r="AT11" s="7">
        <f>IF($AE11=1,1.3*(IF(AH11=1,1.4*AZ$1,AZ$1)),(IF(AH11=1,1.4*AZ$1,AZ$1)))</f>
        <v>920.76923076923072</v>
      </c>
      <c r="AU11" s="7">
        <f>IF($AE11=1,1.3*(IF(AI11=1,1.4*BA$1,BA$1)),(IF(AI11=1,1.4*BA$1,BA$1)))</f>
        <v>323.07692307692304</v>
      </c>
      <c r="AV11" s="7">
        <f>IF($AE11=1,1.3*(IF(AJ11=1,1.4*BB$1,BB$1)),(IF(AJ11=1,1.4*BB$1,BB$1)))</f>
        <v>35.384615384615387</v>
      </c>
      <c r="AW11" s="7">
        <f>IF($AE11=1,1.3*(IF(AK11=1,1.4*BC$1,BC$1)),(IF(AK11=1,1.4*BC$1,BC$1)))</f>
        <v>936.92307692307691</v>
      </c>
      <c r="AX11" s="7">
        <f>IF($AE11=1,1.3*(IF(AL11=1,1.4*BD$1,BD$1)),(IF(AL11=1,1.4*BD$1,BD$1)))</f>
        <v>242.30769230769229</v>
      </c>
      <c r="AY11" s="7">
        <f>IF($AE11=1,1.3*(IF(AM11=1,1.4*BE$1,BE$1)),(IF(AM11=1,1.4*BE$1,BE$1)))</f>
        <v>557.69230769230762</v>
      </c>
      <c r="AZ11" s="7">
        <f>IF($AE11=1,1.3*(IF(AN11=1,1.4*BF$1,BF$1)),(IF(AN11=1,1.4*BF$1,BF$1)))</f>
        <v>67.84615384615384</v>
      </c>
      <c r="BA11" s="7">
        <f>IF($AE11=1,1.3*(IF(AO11=1,1.4*BG$1,BG$1)),(IF(AO11=1,1.4*BG$1,BG$1)))</f>
        <v>29.615384615384617</v>
      </c>
      <c r="BB11" s="7">
        <f>IF($AE11=1,1.3*(IF(AP11=1,1.4*BH$1,BH$1)),(IF(AP11=1,1.4*BH$1,BH$1)))</f>
        <v>168.26923076923077</v>
      </c>
      <c r="BC11" s="9">
        <f>SUM(AR11:BB11)</f>
        <v>3779.5</v>
      </c>
      <c r="BD11">
        <f>BC11*4.2</f>
        <v>15873.900000000001</v>
      </c>
      <c r="BE11">
        <f t="shared" si="2"/>
        <v>31747.800000000003</v>
      </c>
      <c r="BF11">
        <f>IF(AE11=1,$BK$1,$BL$1)</f>
        <v>9230</v>
      </c>
      <c r="BG11">
        <f>BF11-BD11</f>
        <v>-6643.9000000000015</v>
      </c>
      <c r="BH11">
        <f>(H11-BC11)*4.2</f>
        <v>21926.100000000002</v>
      </c>
    </row>
    <row r="12" spans="1:97" ht="129.6" x14ac:dyDescent="0.3">
      <c r="A12" s="3" t="s">
        <v>66</v>
      </c>
      <c r="B12" s="3" t="s">
        <v>31</v>
      </c>
      <c r="C12" s="3">
        <v>20</v>
      </c>
      <c r="D12" s="3" t="s">
        <v>67</v>
      </c>
      <c r="E12" s="3" t="s">
        <v>43</v>
      </c>
      <c r="F12" s="3">
        <v>12000</v>
      </c>
      <c r="G12" s="3" t="s">
        <v>68</v>
      </c>
      <c r="H12" s="3" t="s">
        <v>69</v>
      </c>
      <c r="I12" s="3" t="s">
        <v>39</v>
      </c>
      <c r="J12" s="3" t="s">
        <v>49</v>
      </c>
      <c r="K12" s="3" t="s">
        <v>49</v>
      </c>
      <c r="L12" s="3" t="s">
        <v>49</v>
      </c>
      <c r="M12" s="3" t="s">
        <v>48</v>
      </c>
      <c r="N12" s="3" t="s">
        <v>59</v>
      </c>
      <c r="O12" s="3" t="s">
        <v>59</v>
      </c>
      <c r="P12" s="3" t="s">
        <v>39</v>
      </c>
      <c r="Q12" s="3" t="s">
        <v>49</v>
      </c>
      <c r="R12" s="3" t="s">
        <v>39</v>
      </c>
      <c r="S12" s="3" t="s">
        <v>49</v>
      </c>
      <c r="T12" s="3" t="s">
        <v>43</v>
      </c>
      <c r="U12" s="3" t="s">
        <v>43</v>
      </c>
      <c r="V12" s="3" t="s">
        <v>43</v>
      </c>
      <c r="W12" s="3" t="s">
        <v>43</v>
      </c>
      <c r="X12" s="3" t="s">
        <v>42</v>
      </c>
      <c r="Y12" s="3" t="s">
        <v>42</v>
      </c>
      <c r="Z12" s="3" t="s">
        <v>43</v>
      </c>
      <c r="AA12" s="3" t="s">
        <v>43</v>
      </c>
      <c r="AB12" s="3" t="s">
        <v>43</v>
      </c>
      <c r="AC12" s="3" t="s">
        <v>42</v>
      </c>
      <c r="AD12" s="3" t="s">
        <v>43</v>
      </c>
      <c r="AE12" s="3">
        <f>IF(G34 = "Москва",1,0)</f>
        <v>0</v>
      </c>
      <c r="AF12">
        <f t="shared" si="3"/>
        <v>0</v>
      </c>
      <c r="AG12">
        <f>IF(U11="Да",1,0)</f>
        <v>0</v>
      </c>
      <c r="AH12">
        <f>IF(V11="Да",1,0)</f>
        <v>0</v>
      </c>
      <c r="AI12">
        <f>IF(W11="Да",1,0)</f>
        <v>0</v>
      </c>
      <c r="AJ12">
        <f>IF(X11="Да",1,0)</f>
        <v>1</v>
      </c>
      <c r="AK12">
        <f>IF(Y11="Да",1,0)</f>
        <v>1</v>
      </c>
      <c r="AL12">
        <f>IF(Z11="Да",1,0)</f>
        <v>0</v>
      </c>
      <c r="AM12">
        <f>IF(AA11="Да",1,0)</f>
        <v>0</v>
      </c>
      <c r="AN12">
        <f>IF(AB11="Да",1,0)</f>
        <v>1</v>
      </c>
      <c r="AO12">
        <f>IF(AC11="Да",1,0)</f>
        <v>0</v>
      </c>
      <c r="AP12">
        <f>IF(AD11="Да",1,0)</f>
        <v>1</v>
      </c>
      <c r="AR12" s="7">
        <f>IF($AE12=1,1.3*(IF(AF12=1,1.4*AX$1,AX$1)),(IF(AF12=1,1.4*AX$1,AX$1)))</f>
        <v>218.07692307692307</v>
      </c>
      <c r="AS12" s="7">
        <f>IF($AE12=1,1.3*(IF(AG12=1,1.4*AY$1,AY$1)),(IF(AG12=1,1.4*AY$1,AY$1)))</f>
        <v>192.30769230769232</v>
      </c>
      <c r="AT12" s="7">
        <f>IF($AE12=1,1.3*(IF(AH12=1,1.4*AZ$1,AZ$1)),(IF(AH12=1,1.4*AZ$1,AZ$1)))</f>
        <v>657.69230769230774</v>
      </c>
      <c r="AU12" s="7">
        <f>IF($AE12=1,1.3*(IF(AI12=1,1.4*BA$1,BA$1)),(IF(AI12=1,1.4*BA$1,BA$1)))</f>
        <v>230.76923076923075</v>
      </c>
      <c r="AV12" s="7">
        <f>IF($AE12=1,1.3*(IF(AJ12=1,1.4*BB$1,BB$1)),(IF(AJ12=1,1.4*BB$1,BB$1)))</f>
        <v>49.53846153846154</v>
      </c>
      <c r="AW12" s="7">
        <f>IF($AE12=1,1.3*(IF(AK12=1,1.4*BC$1,BC$1)),(IF(AK12=1,1.4*BC$1,BC$1)))</f>
        <v>936.92307692307691</v>
      </c>
      <c r="AX12" s="7">
        <f>IF($AE12=1,1.3*(IF(AL12=1,1.4*BD$1,BD$1)),(IF(AL12=1,1.4*BD$1,BD$1)))</f>
        <v>242.30769230769229</v>
      </c>
      <c r="AY12" s="7">
        <f>IF($AE12=1,1.3*(IF(AM12=1,1.4*BE$1,BE$1)),(IF(AM12=1,1.4*BE$1,BE$1)))</f>
        <v>557.69230769230762</v>
      </c>
      <c r="AZ12" s="7">
        <f>IF($AE12=1,1.3*(IF(AN12=1,1.4*BF$1,BF$1)),(IF(AN12=1,1.4*BF$1,BF$1)))</f>
        <v>67.84615384615384</v>
      </c>
      <c r="BA12" s="7">
        <f>IF($AE12=1,1.3*(IF(AO12=1,1.4*BG$1,BG$1)),(IF(AO12=1,1.4*BG$1,BG$1)))</f>
        <v>29.615384615384617</v>
      </c>
      <c r="BB12" s="7">
        <f>IF($AE12=1,1.3*(IF(AP12=1,1.4*BH$1,BH$1)),(IF(AP12=1,1.4*BH$1,BH$1)))</f>
        <v>168.26923076923077</v>
      </c>
      <c r="BC12" s="9">
        <f>SUM(AR12:BB12)</f>
        <v>3351.0384615384619</v>
      </c>
      <c r="BD12">
        <f>BC12*4.2</f>
        <v>14074.36153846154</v>
      </c>
      <c r="BE12">
        <f t="shared" si="2"/>
        <v>28148.723076923081</v>
      </c>
      <c r="BF12">
        <f>IF(AE12=1,$BK$1,$BL$1)</f>
        <v>9230</v>
      </c>
      <c r="BG12">
        <f>BF12-BD12</f>
        <v>-4844.3615384615405</v>
      </c>
      <c r="BH12">
        <f>(H12-BC12)*4.2</f>
        <v>69925.638461538474</v>
      </c>
    </row>
    <row r="13" spans="1:97" ht="115.2" x14ac:dyDescent="0.3">
      <c r="A13" s="3" t="s">
        <v>70</v>
      </c>
      <c r="B13" s="3" t="s">
        <v>31</v>
      </c>
      <c r="C13" s="3">
        <v>20</v>
      </c>
      <c r="D13" s="3" t="s">
        <v>32</v>
      </c>
      <c r="E13" s="3" t="s">
        <v>33</v>
      </c>
      <c r="F13" s="3">
        <v>21000</v>
      </c>
      <c r="G13" s="3" t="s">
        <v>71</v>
      </c>
      <c r="H13" s="3" t="s">
        <v>55</v>
      </c>
      <c r="I13" s="3" t="s">
        <v>40</v>
      </c>
      <c r="J13" s="3" t="s">
        <v>40</v>
      </c>
      <c r="K13" s="3" t="s">
        <v>39</v>
      </c>
      <c r="L13" s="3" t="s">
        <v>39</v>
      </c>
      <c r="M13" s="3" t="s">
        <v>41</v>
      </c>
      <c r="N13" s="3" t="s">
        <v>38</v>
      </c>
      <c r="O13" s="3" t="s">
        <v>40</v>
      </c>
      <c r="P13" s="3" t="s">
        <v>38</v>
      </c>
      <c r="Q13" s="3" t="s">
        <v>38</v>
      </c>
      <c r="R13" s="3" t="s">
        <v>41</v>
      </c>
      <c r="S13" s="3" t="s">
        <v>39</v>
      </c>
      <c r="T13" s="3" t="s">
        <v>43</v>
      </c>
      <c r="U13" s="3" t="s">
        <v>42</v>
      </c>
      <c r="V13" s="3" t="s">
        <v>43</v>
      </c>
      <c r="W13" s="3" t="s">
        <v>43</v>
      </c>
      <c r="X13" s="3" t="s">
        <v>42</v>
      </c>
      <c r="Y13" s="3" t="s">
        <v>42</v>
      </c>
      <c r="Z13" s="3" t="s">
        <v>42</v>
      </c>
      <c r="AA13" s="3" t="s">
        <v>43</v>
      </c>
      <c r="AB13" s="3" t="s">
        <v>42</v>
      </c>
      <c r="AC13" s="3" t="s">
        <v>42</v>
      </c>
      <c r="AD13" s="3" t="s">
        <v>42</v>
      </c>
      <c r="AE13" s="3">
        <f>IF(G35 = "Москва",1,0)</f>
        <v>0</v>
      </c>
      <c r="AF13">
        <f t="shared" si="3"/>
        <v>0</v>
      </c>
      <c r="AG13">
        <f>IF(U12="Да",1,0)</f>
        <v>0</v>
      </c>
      <c r="AH13">
        <f>IF(V12="Да",1,0)</f>
        <v>0</v>
      </c>
      <c r="AI13">
        <f>IF(W12="Да",1,0)</f>
        <v>0</v>
      </c>
      <c r="AJ13">
        <f>IF(X12="Да",1,0)</f>
        <v>1</v>
      </c>
      <c r="AK13">
        <f>IF(Y12="Да",1,0)</f>
        <v>1</v>
      </c>
      <c r="AL13">
        <f>IF(Z12="Да",1,0)</f>
        <v>0</v>
      </c>
      <c r="AM13">
        <f>IF(AA12="Да",1,0)</f>
        <v>0</v>
      </c>
      <c r="AN13">
        <f>IF(AB12="Да",1,0)</f>
        <v>0</v>
      </c>
      <c r="AO13">
        <f>IF(AC12="Да",1,0)</f>
        <v>1</v>
      </c>
      <c r="AP13">
        <f>IF(AD12="Да",1,0)</f>
        <v>0</v>
      </c>
      <c r="AR13" s="7">
        <f>IF($AE13=1,1.3*(IF(AF13=1,1.4*AX$1,AX$1)),(IF(AF13=1,1.4*AX$1,AX$1)))</f>
        <v>218.07692307692307</v>
      </c>
      <c r="AS13" s="7">
        <f>IF($AE13=1,1.3*(IF(AG13=1,1.4*AY$1,AY$1)),(IF(AG13=1,1.4*AY$1,AY$1)))</f>
        <v>192.30769230769232</v>
      </c>
      <c r="AT13" s="7">
        <f>IF($AE13=1,1.3*(IF(AH13=1,1.4*AZ$1,AZ$1)),(IF(AH13=1,1.4*AZ$1,AZ$1)))</f>
        <v>657.69230769230774</v>
      </c>
      <c r="AU13" s="7">
        <f>IF($AE13=1,1.3*(IF(AI13=1,1.4*BA$1,BA$1)),(IF(AI13=1,1.4*BA$1,BA$1)))</f>
        <v>230.76923076923075</v>
      </c>
      <c r="AV13" s="7">
        <f>IF($AE13=1,1.3*(IF(AJ13=1,1.4*BB$1,BB$1)),(IF(AJ13=1,1.4*BB$1,BB$1)))</f>
        <v>49.53846153846154</v>
      </c>
      <c r="AW13" s="7">
        <f>IF($AE13=1,1.3*(IF(AK13=1,1.4*BC$1,BC$1)),(IF(AK13=1,1.4*BC$1,BC$1)))</f>
        <v>936.92307692307691</v>
      </c>
      <c r="AX13" s="7">
        <f>IF($AE13=1,1.3*(IF(AL13=1,1.4*BD$1,BD$1)),(IF(AL13=1,1.4*BD$1,BD$1)))</f>
        <v>242.30769230769229</v>
      </c>
      <c r="AY13" s="7">
        <f>IF($AE13=1,1.3*(IF(AM13=1,1.4*BE$1,BE$1)),(IF(AM13=1,1.4*BE$1,BE$1)))</f>
        <v>557.69230769230762</v>
      </c>
      <c r="AZ13" s="7">
        <f>IF($AE13=1,1.3*(IF(AN13=1,1.4*BF$1,BF$1)),(IF(AN13=1,1.4*BF$1,BF$1)))</f>
        <v>48.46153846153846</v>
      </c>
      <c r="BA13" s="7">
        <f>IF($AE13=1,1.3*(IF(AO13=1,1.4*BG$1,BG$1)),(IF(AO13=1,1.4*BG$1,BG$1)))</f>
        <v>41.46153846153846</v>
      </c>
      <c r="BB13" s="7">
        <f>IF($AE13=1,1.3*(IF(AP13=1,1.4*BH$1,BH$1)),(IF(AP13=1,1.4*BH$1,BH$1)))</f>
        <v>120.19230769230769</v>
      </c>
      <c r="BC13" s="9">
        <f>SUM(AR13:BB13)</f>
        <v>3295.4230769230771</v>
      </c>
      <c r="BD13">
        <f>BC13*4.2</f>
        <v>13840.776923076925</v>
      </c>
      <c r="BE13">
        <f t="shared" si="2"/>
        <v>27681.553846153849</v>
      </c>
      <c r="BF13">
        <f>IF(AE13=1,$BK$1,$BL$1)</f>
        <v>9230</v>
      </c>
      <c r="BG13">
        <f>BF13-BD13</f>
        <v>-4610.7769230769245</v>
      </c>
      <c r="BH13">
        <f>(H13-BC13)*4.2</f>
        <v>7159.2230769230764</v>
      </c>
    </row>
    <row r="14" spans="1:97" ht="144" x14ac:dyDescent="0.3">
      <c r="A14" s="3" t="s">
        <v>72</v>
      </c>
      <c r="B14" s="3" t="s">
        <v>45</v>
      </c>
      <c r="C14" s="3">
        <v>20</v>
      </c>
      <c r="D14" s="3" t="s">
        <v>46</v>
      </c>
      <c r="E14" s="3" t="s">
        <v>33</v>
      </c>
      <c r="F14" s="3">
        <v>60000</v>
      </c>
      <c r="G14" s="3" t="s">
        <v>127</v>
      </c>
      <c r="H14" s="3" t="s">
        <v>73</v>
      </c>
      <c r="I14" s="3" t="s">
        <v>39</v>
      </c>
      <c r="J14" s="3" t="s">
        <v>36</v>
      </c>
      <c r="K14" s="3" t="s">
        <v>38</v>
      </c>
      <c r="L14" s="3" t="s">
        <v>37</v>
      </c>
      <c r="M14" s="3" t="s">
        <v>41</v>
      </c>
      <c r="N14" s="3" t="s">
        <v>59</v>
      </c>
      <c r="O14" s="3" t="s">
        <v>59</v>
      </c>
      <c r="P14" s="3" t="s">
        <v>41</v>
      </c>
      <c r="Q14" s="3" t="s">
        <v>59</v>
      </c>
      <c r="R14" s="3" t="s">
        <v>41</v>
      </c>
      <c r="S14" s="3" t="s">
        <v>41</v>
      </c>
      <c r="T14" s="3" t="s">
        <v>42</v>
      </c>
      <c r="U14" s="3" t="s">
        <v>42</v>
      </c>
      <c r="V14" s="3" t="s">
        <v>42</v>
      </c>
      <c r="W14" s="3" t="s">
        <v>42</v>
      </c>
      <c r="X14" s="3" t="s">
        <v>43</v>
      </c>
      <c r="Y14" s="3" t="s">
        <v>42</v>
      </c>
      <c r="Z14" s="3" t="s">
        <v>43</v>
      </c>
      <c r="AA14" s="3" t="s">
        <v>43</v>
      </c>
      <c r="AB14" s="3" t="s">
        <v>42</v>
      </c>
      <c r="AC14" s="3" t="s">
        <v>43</v>
      </c>
      <c r="AD14" s="3" t="s">
        <v>43</v>
      </c>
      <c r="AE14" s="3">
        <f>IF(G36 = "Москва",1,0)</f>
        <v>0</v>
      </c>
      <c r="AF14">
        <f t="shared" si="3"/>
        <v>1</v>
      </c>
      <c r="AG14">
        <f>IF(U13="Да",1,0)</f>
        <v>1</v>
      </c>
      <c r="AH14">
        <f>IF(V13="Да",1,0)</f>
        <v>0</v>
      </c>
      <c r="AI14">
        <f>IF(W13="Да",1,0)</f>
        <v>0</v>
      </c>
      <c r="AJ14">
        <f>IF(X13="Да",1,0)</f>
        <v>1</v>
      </c>
      <c r="AK14">
        <f>IF(Y13="Да",1,0)</f>
        <v>1</v>
      </c>
      <c r="AL14">
        <f>IF(Z13="Да",1,0)</f>
        <v>1</v>
      </c>
      <c r="AM14">
        <f>IF(AA13="Да",1,0)</f>
        <v>0</v>
      </c>
      <c r="AN14">
        <f>IF(AB13="Да",1,0)</f>
        <v>1</v>
      </c>
      <c r="AO14">
        <f>IF(AC13="Да",1,0)</f>
        <v>1</v>
      </c>
      <c r="AP14">
        <f>IF(AD13="Да",1,0)</f>
        <v>1</v>
      </c>
      <c r="AR14" s="7">
        <f>IF($AE14=1,1.3*(IF(AF14=1,1.4*AX$1,AX$1)),(IF(AF14=1,1.4*AX$1,AX$1)))</f>
        <v>305.30769230769226</v>
      </c>
      <c r="AS14" s="7">
        <f>IF($AE14=1,1.3*(IF(AG14=1,1.4*AY$1,AY$1)),(IF(AG14=1,1.4*AY$1,AY$1)))</f>
        <v>269.23076923076923</v>
      </c>
      <c r="AT14" s="7">
        <f>IF($AE14=1,1.3*(IF(AH14=1,1.4*AZ$1,AZ$1)),(IF(AH14=1,1.4*AZ$1,AZ$1)))</f>
        <v>657.69230769230774</v>
      </c>
      <c r="AU14" s="7">
        <f>IF($AE14=1,1.3*(IF(AI14=1,1.4*BA$1,BA$1)),(IF(AI14=1,1.4*BA$1,BA$1)))</f>
        <v>230.76923076923075</v>
      </c>
      <c r="AV14" s="7">
        <f>IF($AE14=1,1.3*(IF(AJ14=1,1.4*BB$1,BB$1)),(IF(AJ14=1,1.4*BB$1,BB$1)))</f>
        <v>49.53846153846154</v>
      </c>
      <c r="AW14" s="7">
        <f>IF($AE14=1,1.3*(IF(AK14=1,1.4*BC$1,BC$1)),(IF(AK14=1,1.4*BC$1,BC$1)))</f>
        <v>936.92307692307691</v>
      </c>
      <c r="AX14" s="7">
        <f>IF($AE14=1,1.3*(IF(AL14=1,1.4*BD$1,BD$1)),(IF(AL14=1,1.4*BD$1,BD$1)))</f>
        <v>339.23076923076917</v>
      </c>
      <c r="AY14" s="7">
        <f>IF($AE14=1,1.3*(IF(AM14=1,1.4*BE$1,BE$1)),(IF(AM14=1,1.4*BE$1,BE$1)))</f>
        <v>557.69230769230762</v>
      </c>
      <c r="AZ14" s="7">
        <f>IF($AE14=1,1.3*(IF(AN14=1,1.4*BF$1,BF$1)),(IF(AN14=1,1.4*BF$1,BF$1)))</f>
        <v>67.84615384615384</v>
      </c>
      <c r="BA14" s="7">
        <f>IF($AE14=1,1.3*(IF(AO14=1,1.4*BG$1,BG$1)),(IF(AO14=1,1.4*BG$1,BG$1)))</f>
        <v>41.46153846153846</v>
      </c>
      <c r="BB14" s="7">
        <f>IF($AE14=1,1.3*(IF(AP14=1,1.4*BH$1,BH$1)),(IF(AP14=1,1.4*BH$1,BH$1)))</f>
        <v>168.26923076923077</v>
      </c>
      <c r="BC14" s="9">
        <f>SUM(AR14:BB14)</f>
        <v>3623.9615384615381</v>
      </c>
      <c r="BD14">
        <f>BC14*4.2</f>
        <v>15220.638461538461</v>
      </c>
      <c r="BE14">
        <f t="shared" si="2"/>
        <v>30441.276923076923</v>
      </c>
      <c r="BF14">
        <f>IF(AE14=1,$BK$1,$BL$1)</f>
        <v>9230</v>
      </c>
      <c r="BG14">
        <f>BF14-BD14</f>
        <v>-5990.6384615384613</v>
      </c>
      <c r="BH14">
        <f>(H14-BC14)*4.2</f>
        <v>14179.36153846154</v>
      </c>
    </row>
    <row r="15" spans="1:97" ht="115.2" x14ac:dyDescent="0.3">
      <c r="A15" s="3" t="s">
        <v>74</v>
      </c>
      <c r="B15" s="3" t="s">
        <v>31</v>
      </c>
      <c r="C15" s="3">
        <v>20</v>
      </c>
      <c r="D15" s="3" t="s">
        <v>32</v>
      </c>
      <c r="E15" s="3" t="s">
        <v>33</v>
      </c>
      <c r="F15" s="3">
        <v>60000</v>
      </c>
      <c r="G15" s="3" t="s">
        <v>127</v>
      </c>
      <c r="H15" s="3" t="s">
        <v>47</v>
      </c>
      <c r="I15" s="3" t="s">
        <v>39</v>
      </c>
      <c r="J15" s="3" t="s">
        <v>39</v>
      </c>
      <c r="K15" s="3" t="s">
        <v>38</v>
      </c>
      <c r="L15" s="3" t="s">
        <v>38</v>
      </c>
      <c r="M15" s="3" t="s">
        <v>41</v>
      </c>
      <c r="N15" s="3" t="s">
        <v>38</v>
      </c>
      <c r="O15" s="3" t="s">
        <v>41</v>
      </c>
      <c r="P15" s="3" t="s">
        <v>39</v>
      </c>
      <c r="Q15" s="3" t="s">
        <v>39</v>
      </c>
      <c r="R15" s="3" t="s">
        <v>41</v>
      </c>
      <c r="S15" s="3" t="s">
        <v>41</v>
      </c>
      <c r="T15" s="3" t="s">
        <v>43</v>
      </c>
      <c r="U15" s="3" t="s">
        <v>43</v>
      </c>
      <c r="V15" s="3" t="s">
        <v>43</v>
      </c>
      <c r="W15" s="3" t="s">
        <v>42</v>
      </c>
      <c r="X15" s="3" t="s">
        <v>42</v>
      </c>
      <c r="Y15" s="3" t="s">
        <v>42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42</v>
      </c>
      <c r="AE15" s="3">
        <f>IF(G37 = "Москва",1,0)</f>
        <v>0</v>
      </c>
      <c r="AF15">
        <f t="shared" si="3"/>
        <v>0</v>
      </c>
      <c r="AG15">
        <f>IF(U14="Да",1,0)</f>
        <v>1</v>
      </c>
      <c r="AH15">
        <f>IF(V14="Да",1,0)</f>
        <v>1</v>
      </c>
      <c r="AI15">
        <f>IF(W14="Да",1,0)</f>
        <v>1</v>
      </c>
      <c r="AJ15">
        <f>IF(X14="Да",1,0)</f>
        <v>0</v>
      </c>
      <c r="AK15">
        <f>IF(Y14="Да",1,0)</f>
        <v>1</v>
      </c>
      <c r="AL15">
        <f>IF(Z14="Да",1,0)</f>
        <v>0</v>
      </c>
      <c r="AM15">
        <f>IF(AA14="Да",1,0)</f>
        <v>0</v>
      </c>
      <c r="AN15">
        <f>IF(AB14="Да",1,0)</f>
        <v>1</v>
      </c>
      <c r="AO15">
        <f>IF(AC14="Да",1,0)</f>
        <v>0</v>
      </c>
      <c r="AP15">
        <f>IF(AD14="Да",1,0)</f>
        <v>0</v>
      </c>
      <c r="AR15" s="7">
        <f>IF($AE15=1,1.3*(IF(AF15=1,1.4*AX$1,AX$1)),(IF(AF15=1,1.4*AX$1,AX$1)))</f>
        <v>218.07692307692307</v>
      </c>
      <c r="AS15" s="7">
        <f>IF($AE15=1,1.3*(IF(AG15=1,1.4*AY$1,AY$1)),(IF(AG15=1,1.4*AY$1,AY$1)))</f>
        <v>269.23076923076923</v>
      </c>
      <c r="AT15" s="7">
        <f>IF($AE15=1,1.3*(IF(AH15=1,1.4*AZ$1,AZ$1)),(IF(AH15=1,1.4*AZ$1,AZ$1)))</f>
        <v>920.76923076923072</v>
      </c>
      <c r="AU15" s="7">
        <f>IF($AE15=1,1.3*(IF(AI15=1,1.4*BA$1,BA$1)),(IF(AI15=1,1.4*BA$1,BA$1)))</f>
        <v>323.07692307692304</v>
      </c>
      <c r="AV15" s="7">
        <f>IF($AE15=1,1.3*(IF(AJ15=1,1.4*BB$1,BB$1)),(IF(AJ15=1,1.4*BB$1,BB$1)))</f>
        <v>35.384615384615387</v>
      </c>
      <c r="AW15" s="7">
        <f>IF($AE15=1,1.3*(IF(AK15=1,1.4*BC$1,BC$1)),(IF(AK15=1,1.4*BC$1,BC$1)))</f>
        <v>936.92307692307691</v>
      </c>
      <c r="AX15" s="7">
        <f>IF($AE15=1,1.3*(IF(AL15=1,1.4*BD$1,BD$1)),(IF(AL15=1,1.4*BD$1,BD$1)))</f>
        <v>242.30769230769229</v>
      </c>
      <c r="AY15" s="7">
        <f>IF($AE15=1,1.3*(IF(AM15=1,1.4*BE$1,BE$1)),(IF(AM15=1,1.4*BE$1,BE$1)))</f>
        <v>557.69230769230762</v>
      </c>
      <c r="AZ15" s="7">
        <f>IF($AE15=1,1.3*(IF(AN15=1,1.4*BF$1,BF$1)),(IF(AN15=1,1.4*BF$1,BF$1)))</f>
        <v>67.84615384615384</v>
      </c>
      <c r="BA15" s="7">
        <f>IF($AE15=1,1.3*(IF(AO15=1,1.4*BG$1,BG$1)),(IF(AO15=1,1.4*BG$1,BG$1)))</f>
        <v>29.615384615384617</v>
      </c>
      <c r="BB15" s="7">
        <f>IF($AE15=1,1.3*(IF(AP15=1,1.4*BH$1,BH$1)),(IF(AP15=1,1.4*BH$1,BH$1)))</f>
        <v>120.19230769230769</v>
      </c>
      <c r="BC15" s="9">
        <f>SUM(AR15:BB15)</f>
        <v>3721.1153846153843</v>
      </c>
      <c r="BD15">
        <f>BC15*4.2</f>
        <v>15628.684615384615</v>
      </c>
      <c r="BE15">
        <f t="shared" si="2"/>
        <v>31257.369230769229</v>
      </c>
      <c r="BF15">
        <f>IF(AE15=1,$BK$1,$BL$1)</f>
        <v>9230</v>
      </c>
      <c r="BG15">
        <f>BF15-BD15</f>
        <v>-6398.6846153846145</v>
      </c>
      <c r="BH15">
        <f>(H15-BC15)*4.2</f>
        <v>17971.315384615384</v>
      </c>
    </row>
    <row r="16" spans="1:97" ht="144" x14ac:dyDescent="0.3">
      <c r="A16" s="3" t="s">
        <v>75</v>
      </c>
      <c r="B16" s="3" t="s">
        <v>31</v>
      </c>
      <c r="C16" s="3">
        <v>20</v>
      </c>
      <c r="D16" s="3" t="s">
        <v>46</v>
      </c>
      <c r="E16" s="3" t="s">
        <v>33</v>
      </c>
      <c r="F16" s="3">
        <v>12000</v>
      </c>
      <c r="G16" s="3" t="s">
        <v>76</v>
      </c>
      <c r="H16" s="3" t="s">
        <v>77</v>
      </c>
      <c r="I16" s="3" t="s">
        <v>40</v>
      </c>
      <c r="J16" s="3" t="s">
        <v>40</v>
      </c>
      <c r="K16" s="3" t="s">
        <v>59</v>
      </c>
      <c r="L16" s="3" t="s">
        <v>59</v>
      </c>
      <c r="M16" s="3" t="s">
        <v>39</v>
      </c>
      <c r="N16" s="3" t="s">
        <v>59</v>
      </c>
      <c r="O16" s="3" t="s">
        <v>37</v>
      </c>
      <c r="P16" s="3" t="s">
        <v>37</v>
      </c>
      <c r="Q16" s="3" t="s">
        <v>38</v>
      </c>
      <c r="R16" s="3" t="s">
        <v>40</v>
      </c>
      <c r="S16" s="3" t="s">
        <v>39</v>
      </c>
      <c r="T16" s="3" t="s">
        <v>43</v>
      </c>
      <c r="U16" s="3" t="s">
        <v>43</v>
      </c>
      <c r="V16" s="3" t="s">
        <v>43</v>
      </c>
      <c r="W16" s="3" t="s">
        <v>43</v>
      </c>
      <c r="X16" s="3" t="s">
        <v>42</v>
      </c>
      <c r="Y16" s="3" t="s">
        <v>42</v>
      </c>
      <c r="Z16" s="3" t="s">
        <v>43</v>
      </c>
      <c r="AA16" s="3" t="s">
        <v>42</v>
      </c>
      <c r="AB16" s="3" t="s">
        <v>42</v>
      </c>
      <c r="AC16" s="3" t="s">
        <v>42</v>
      </c>
      <c r="AD16" s="3" t="s">
        <v>42</v>
      </c>
      <c r="AE16" s="3">
        <f>IF(G38 = "Москва",1,0)</f>
        <v>0</v>
      </c>
      <c r="AF16">
        <f t="shared" si="3"/>
        <v>0</v>
      </c>
      <c r="AG16">
        <f>IF(U15="Да",1,0)</f>
        <v>0</v>
      </c>
      <c r="AH16">
        <f>IF(V15="Да",1,0)</f>
        <v>0</v>
      </c>
      <c r="AI16">
        <f>IF(W15="Да",1,0)</f>
        <v>1</v>
      </c>
      <c r="AJ16">
        <f>IF(X15="Да",1,0)</f>
        <v>1</v>
      </c>
      <c r="AK16">
        <f>IF(Y15="Да",1,0)</f>
        <v>1</v>
      </c>
      <c r="AL16">
        <f>IF(Z15="Да",1,0)</f>
        <v>0</v>
      </c>
      <c r="AM16">
        <f>IF(AA15="Да",1,0)</f>
        <v>0</v>
      </c>
      <c r="AN16">
        <f>IF(AB15="Да",1,0)</f>
        <v>0</v>
      </c>
      <c r="AO16">
        <f>IF(AC15="Да",1,0)</f>
        <v>0</v>
      </c>
      <c r="AP16">
        <f>IF(AD15="Да",1,0)</f>
        <v>1</v>
      </c>
      <c r="AR16" s="7">
        <f>IF($AE16=1,1.3*(IF(AF16=1,1.4*AX$1,AX$1)),(IF(AF16=1,1.4*AX$1,AX$1)))</f>
        <v>218.07692307692307</v>
      </c>
      <c r="AS16" s="7">
        <f>IF($AE16=1,1.3*(IF(AG16=1,1.4*AY$1,AY$1)),(IF(AG16=1,1.4*AY$1,AY$1)))</f>
        <v>192.30769230769232</v>
      </c>
      <c r="AT16" s="7">
        <f>IF($AE16=1,1.3*(IF(AH16=1,1.4*AZ$1,AZ$1)),(IF(AH16=1,1.4*AZ$1,AZ$1)))</f>
        <v>657.69230769230774</v>
      </c>
      <c r="AU16" s="7">
        <f>IF($AE16=1,1.3*(IF(AI16=1,1.4*BA$1,BA$1)),(IF(AI16=1,1.4*BA$1,BA$1)))</f>
        <v>323.07692307692304</v>
      </c>
      <c r="AV16" s="7">
        <f>IF($AE16=1,1.3*(IF(AJ16=1,1.4*BB$1,BB$1)),(IF(AJ16=1,1.4*BB$1,BB$1)))</f>
        <v>49.53846153846154</v>
      </c>
      <c r="AW16" s="7">
        <f>IF($AE16=1,1.3*(IF(AK16=1,1.4*BC$1,BC$1)),(IF(AK16=1,1.4*BC$1,BC$1)))</f>
        <v>936.92307692307691</v>
      </c>
      <c r="AX16" s="7">
        <f>IF($AE16=1,1.3*(IF(AL16=1,1.4*BD$1,BD$1)),(IF(AL16=1,1.4*BD$1,BD$1)))</f>
        <v>242.30769230769229</v>
      </c>
      <c r="AY16" s="7">
        <f>IF($AE16=1,1.3*(IF(AM16=1,1.4*BE$1,BE$1)),(IF(AM16=1,1.4*BE$1,BE$1)))</f>
        <v>557.69230769230762</v>
      </c>
      <c r="AZ16" s="7">
        <f>IF($AE16=1,1.3*(IF(AN16=1,1.4*BF$1,BF$1)),(IF(AN16=1,1.4*BF$1,BF$1)))</f>
        <v>48.46153846153846</v>
      </c>
      <c r="BA16" s="7">
        <f>IF($AE16=1,1.3*(IF(AO16=1,1.4*BG$1,BG$1)),(IF(AO16=1,1.4*BG$1,BG$1)))</f>
        <v>29.615384615384617</v>
      </c>
      <c r="BB16" s="7">
        <f>IF($AE16=1,1.3*(IF(AP16=1,1.4*BH$1,BH$1)),(IF(AP16=1,1.4*BH$1,BH$1)))</f>
        <v>168.26923076923077</v>
      </c>
      <c r="BC16" s="9">
        <f>SUM(AR16:BB16)</f>
        <v>3423.961538461539</v>
      </c>
      <c r="BD16">
        <f>BC16*4.2</f>
        <v>14380.638461538465</v>
      </c>
      <c r="BE16">
        <f t="shared" si="2"/>
        <v>28761.27692307693</v>
      </c>
      <c r="BF16">
        <f>IF(AE16=1,$BK$1,$BL$1)</f>
        <v>9230</v>
      </c>
      <c r="BG16">
        <f>BF16-BD16</f>
        <v>-5150.638461538465</v>
      </c>
      <c r="BH16">
        <f>(H16-BC16)*4.2</f>
        <v>-5980.6384615384641</v>
      </c>
    </row>
    <row r="17" spans="1:60" ht="144" x14ac:dyDescent="0.3">
      <c r="A17" s="3" t="s">
        <v>78</v>
      </c>
      <c r="B17" s="3" t="s">
        <v>45</v>
      </c>
      <c r="C17" s="3">
        <v>20</v>
      </c>
      <c r="D17" s="3" t="s">
        <v>46</v>
      </c>
      <c r="E17" s="3" t="s">
        <v>33</v>
      </c>
      <c r="F17" s="3">
        <v>60000</v>
      </c>
      <c r="G17" s="3" t="s">
        <v>79</v>
      </c>
      <c r="H17" s="3" t="s">
        <v>80</v>
      </c>
      <c r="I17" s="3" t="s">
        <v>39</v>
      </c>
      <c r="J17" s="3" t="s">
        <v>38</v>
      </c>
      <c r="K17" s="3" t="s">
        <v>38</v>
      </c>
      <c r="L17" s="3" t="s">
        <v>38</v>
      </c>
      <c r="M17" s="3" t="s">
        <v>38</v>
      </c>
      <c r="N17" s="3" t="s">
        <v>40</v>
      </c>
      <c r="O17" s="3" t="s">
        <v>36</v>
      </c>
      <c r="P17" s="3" t="s">
        <v>36</v>
      </c>
      <c r="Q17" s="3" t="s">
        <v>39</v>
      </c>
      <c r="R17" s="3" t="s">
        <v>39</v>
      </c>
      <c r="S17" s="3" t="s">
        <v>37</v>
      </c>
      <c r="T17" s="3" t="s">
        <v>43</v>
      </c>
      <c r="U17" s="3" t="s">
        <v>42</v>
      </c>
      <c r="V17" s="3" t="s">
        <v>43</v>
      </c>
      <c r="W17" s="3" t="s">
        <v>42</v>
      </c>
      <c r="X17" s="3" t="s">
        <v>42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>
        <f>IF(G39 = "Москва",1,0)</f>
        <v>0</v>
      </c>
      <c r="AF17">
        <f t="shared" si="3"/>
        <v>0</v>
      </c>
      <c r="AG17">
        <f>IF(U16="Да",1,0)</f>
        <v>0</v>
      </c>
      <c r="AH17">
        <f>IF(V16="Да",1,0)</f>
        <v>0</v>
      </c>
      <c r="AI17">
        <f>IF(W16="Да",1,0)</f>
        <v>0</v>
      </c>
      <c r="AJ17">
        <f>IF(X16="Да",1,0)</f>
        <v>1</v>
      </c>
      <c r="AK17">
        <f>IF(Y16="Да",1,0)</f>
        <v>1</v>
      </c>
      <c r="AL17">
        <f>IF(Z16="Да",1,0)</f>
        <v>0</v>
      </c>
      <c r="AM17">
        <f>IF(AA16="Да",1,0)</f>
        <v>1</v>
      </c>
      <c r="AN17">
        <f>IF(AB16="Да",1,0)</f>
        <v>1</v>
      </c>
      <c r="AO17">
        <f>IF(AC16="Да",1,0)</f>
        <v>1</v>
      </c>
      <c r="AP17">
        <f>IF(AD16="Да",1,0)</f>
        <v>1</v>
      </c>
      <c r="AR17" s="7">
        <f>IF($AE17=1,1.3*(IF(AF17=1,1.4*AX$1,AX$1)),(IF(AF17=1,1.4*AX$1,AX$1)))</f>
        <v>218.07692307692307</v>
      </c>
      <c r="AS17" s="7">
        <f>IF($AE17=1,1.3*(IF(AG17=1,1.4*AY$1,AY$1)),(IF(AG17=1,1.4*AY$1,AY$1)))</f>
        <v>192.30769230769232</v>
      </c>
      <c r="AT17" s="7">
        <f>IF($AE17=1,1.3*(IF(AH17=1,1.4*AZ$1,AZ$1)),(IF(AH17=1,1.4*AZ$1,AZ$1)))</f>
        <v>657.69230769230774</v>
      </c>
      <c r="AU17" s="7">
        <f>IF($AE17=1,1.3*(IF(AI17=1,1.4*BA$1,BA$1)),(IF(AI17=1,1.4*BA$1,BA$1)))</f>
        <v>230.76923076923075</v>
      </c>
      <c r="AV17" s="7">
        <f>IF($AE17=1,1.3*(IF(AJ17=1,1.4*BB$1,BB$1)),(IF(AJ17=1,1.4*BB$1,BB$1)))</f>
        <v>49.53846153846154</v>
      </c>
      <c r="AW17" s="7">
        <f>IF($AE17=1,1.3*(IF(AK17=1,1.4*BC$1,BC$1)),(IF(AK17=1,1.4*BC$1,BC$1)))</f>
        <v>936.92307692307691</v>
      </c>
      <c r="AX17" s="7">
        <f>IF($AE17=1,1.3*(IF(AL17=1,1.4*BD$1,BD$1)),(IF(AL17=1,1.4*BD$1,BD$1)))</f>
        <v>242.30769230769229</v>
      </c>
      <c r="AY17" s="7">
        <f>IF($AE17=1,1.3*(IF(AM17=1,1.4*BE$1,BE$1)),(IF(AM17=1,1.4*BE$1,BE$1)))</f>
        <v>780.7692307692306</v>
      </c>
      <c r="AZ17" s="7">
        <f>IF($AE17=1,1.3*(IF(AN17=1,1.4*BF$1,BF$1)),(IF(AN17=1,1.4*BF$1,BF$1)))</f>
        <v>67.84615384615384</v>
      </c>
      <c r="BA17" s="7">
        <f>IF($AE17=1,1.3*(IF(AO17=1,1.4*BG$1,BG$1)),(IF(AO17=1,1.4*BG$1,BG$1)))</f>
        <v>41.46153846153846</v>
      </c>
      <c r="BB17" s="7">
        <f>IF($AE17=1,1.3*(IF(AP17=1,1.4*BH$1,BH$1)),(IF(AP17=1,1.4*BH$1,BH$1)))</f>
        <v>168.26923076923077</v>
      </c>
      <c r="BC17" s="9">
        <f>SUM(AR17:BB17)</f>
        <v>3585.9615384615386</v>
      </c>
      <c r="BD17">
        <f>BC17*4.2</f>
        <v>15061.038461538463</v>
      </c>
      <c r="BE17">
        <f t="shared" si="2"/>
        <v>30122.076923076926</v>
      </c>
      <c r="BF17">
        <f>IF(AE17=1,$BK$1,$BL$1)</f>
        <v>9230</v>
      </c>
      <c r="BG17">
        <f>BF17-BD17</f>
        <v>-5831.0384615384628</v>
      </c>
      <c r="BH17">
        <f>(H17-BC17)*4.2</f>
        <v>10138.961538461539</v>
      </c>
    </row>
    <row r="18" spans="1:60" ht="115.2" x14ac:dyDescent="0.3">
      <c r="A18" s="3" t="s">
        <v>81</v>
      </c>
      <c r="B18" s="3" t="s">
        <v>31</v>
      </c>
      <c r="C18" s="3">
        <v>20</v>
      </c>
      <c r="D18" s="3" t="s">
        <v>32</v>
      </c>
      <c r="E18" s="3" t="s">
        <v>43</v>
      </c>
      <c r="F18" s="3">
        <v>21000</v>
      </c>
      <c r="G18" s="3" t="s">
        <v>127</v>
      </c>
      <c r="H18" s="3" t="s">
        <v>55</v>
      </c>
      <c r="I18" s="3" t="s">
        <v>37</v>
      </c>
      <c r="J18" s="3" t="s">
        <v>36</v>
      </c>
      <c r="K18" s="3" t="s">
        <v>40</v>
      </c>
      <c r="L18" s="3" t="s">
        <v>37</v>
      </c>
      <c r="M18" s="3" t="s">
        <v>48</v>
      </c>
      <c r="N18" s="3" t="s">
        <v>38</v>
      </c>
      <c r="O18" s="3" t="s">
        <v>49</v>
      </c>
      <c r="P18" s="3" t="s">
        <v>59</v>
      </c>
      <c r="Q18" s="3" t="s">
        <v>40</v>
      </c>
      <c r="R18" s="3" t="s">
        <v>36</v>
      </c>
      <c r="S18" s="3" t="s">
        <v>38</v>
      </c>
      <c r="T18" s="3" t="s">
        <v>42</v>
      </c>
      <c r="U18" s="3" t="s">
        <v>43</v>
      </c>
      <c r="V18" s="3" t="s">
        <v>43</v>
      </c>
      <c r="W18" s="3" t="s">
        <v>42</v>
      </c>
      <c r="X18" s="3" t="s">
        <v>43</v>
      </c>
      <c r="Y18" s="3" t="s">
        <v>42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42</v>
      </c>
      <c r="AE18" s="3">
        <f>IF(G40 = "Москва",1,0)</f>
        <v>0</v>
      </c>
      <c r="AF18">
        <f t="shared" si="3"/>
        <v>1</v>
      </c>
      <c r="AG18">
        <f>IF(U17="Да",1,0)</f>
        <v>1</v>
      </c>
      <c r="AH18">
        <f>IF(V17="Да",1,0)</f>
        <v>0</v>
      </c>
      <c r="AI18">
        <f>IF(W17="Да",1,0)</f>
        <v>1</v>
      </c>
      <c r="AJ18">
        <f>IF(X17="Да",1,0)</f>
        <v>1</v>
      </c>
      <c r="AK18">
        <f>IF(Y17="Да",1,0)</f>
        <v>0</v>
      </c>
      <c r="AL18">
        <f>IF(Z17="Да",1,0)</f>
        <v>0</v>
      </c>
      <c r="AM18">
        <f>IF(AA17="Да",1,0)</f>
        <v>0</v>
      </c>
      <c r="AN18">
        <f>IF(AB17="Да",1,0)</f>
        <v>0</v>
      </c>
      <c r="AO18">
        <f>IF(AC17="Да",1,0)</f>
        <v>0</v>
      </c>
      <c r="AP18">
        <f>IF(AD17="Да",1,0)</f>
        <v>0</v>
      </c>
      <c r="AR18" s="7">
        <f>IF($AE18=1,1.3*(IF(AF18=1,1.4*AX$1,AX$1)),(IF(AF18=1,1.4*AX$1,AX$1)))</f>
        <v>305.30769230769226</v>
      </c>
      <c r="AS18" s="7">
        <f>IF($AE18=1,1.3*(IF(AG18=1,1.4*AY$1,AY$1)),(IF(AG18=1,1.4*AY$1,AY$1)))</f>
        <v>269.23076923076923</v>
      </c>
      <c r="AT18" s="7">
        <f>IF($AE18=1,1.3*(IF(AH18=1,1.4*AZ$1,AZ$1)),(IF(AH18=1,1.4*AZ$1,AZ$1)))</f>
        <v>657.69230769230774</v>
      </c>
      <c r="AU18" s="7">
        <f>IF($AE18=1,1.3*(IF(AI18=1,1.4*BA$1,BA$1)),(IF(AI18=1,1.4*BA$1,BA$1)))</f>
        <v>323.07692307692304</v>
      </c>
      <c r="AV18" s="7">
        <f>IF($AE18=1,1.3*(IF(AJ18=1,1.4*BB$1,BB$1)),(IF(AJ18=1,1.4*BB$1,BB$1)))</f>
        <v>49.53846153846154</v>
      </c>
      <c r="AW18" s="7">
        <f>IF($AE18=1,1.3*(IF(AK18=1,1.4*BC$1,BC$1)),(IF(AK18=1,1.4*BC$1,BC$1)))</f>
        <v>669.23076923076928</v>
      </c>
      <c r="AX18" s="7">
        <f>IF($AE18=1,1.3*(IF(AL18=1,1.4*BD$1,BD$1)),(IF(AL18=1,1.4*BD$1,BD$1)))</f>
        <v>242.30769230769229</v>
      </c>
      <c r="AY18" s="7">
        <f>IF($AE18=1,1.3*(IF(AM18=1,1.4*BE$1,BE$1)),(IF(AM18=1,1.4*BE$1,BE$1)))</f>
        <v>557.69230769230762</v>
      </c>
      <c r="AZ18" s="7">
        <f>IF($AE18=1,1.3*(IF(AN18=1,1.4*BF$1,BF$1)),(IF(AN18=1,1.4*BF$1,BF$1)))</f>
        <v>48.46153846153846</v>
      </c>
      <c r="BA18" s="7">
        <f>IF($AE18=1,1.3*(IF(AO18=1,1.4*BG$1,BG$1)),(IF(AO18=1,1.4*BG$1,BG$1)))</f>
        <v>29.615384615384617</v>
      </c>
      <c r="BB18" s="7">
        <f>IF($AE18=1,1.3*(IF(AP18=1,1.4*BH$1,BH$1)),(IF(AP18=1,1.4*BH$1,BH$1)))</f>
        <v>120.19230769230769</v>
      </c>
      <c r="BC18" s="9">
        <f>SUM(AR18:BB18)</f>
        <v>3272.3461538461538</v>
      </c>
      <c r="BD18">
        <f>BC18*4.2</f>
        <v>13743.853846153846</v>
      </c>
      <c r="BE18">
        <f t="shared" si="2"/>
        <v>27487.707692307693</v>
      </c>
      <c r="BF18">
        <f>IF(AE18=1,$BK$1,$BL$1)</f>
        <v>9230</v>
      </c>
      <c r="BG18">
        <f>BF18-BD18</f>
        <v>-4513.8538461538465</v>
      </c>
      <c r="BH18">
        <f>(H18-BC18)*4.2</f>
        <v>7256.1461538461544</v>
      </c>
    </row>
    <row r="19" spans="1:60" ht="115.2" x14ac:dyDescent="0.3">
      <c r="A19" s="3" t="s">
        <v>82</v>
      </c>
      <c r="B19" s="3" t="s">
        <v>31</v>
      </c>
      <c r="C19" s="3">
        <v>20</v>
      </c>
      <c r="D19" s="3" t="s">
        <v>32</v>
      </c>
      <c r="E19" s="3" t="s">
        <v>43</v>
      </c>
      <c r="F19" s="3">
        <v>30000</v>
      </c>
      <c r="G19" s="3" t="s">
        <v>127</v>
      </c>
      <c r="H19" s="3" t="s">
        <v>77</v>
      </c>
      <c r="I19" s="3" t="s">
        <v>35</v>
      </c>
      <c r="J19" s="3" t="s">
        <v>49</v>
      </c>
      <c r="K19" s="3" t="s">
        <v>38</v>
      </c>
      <c r="L19" s="3" t="s">
        <v>59</v>
      </c>
      <c r="M19" s="3" t="s">
        <v>41</v>
      </c>
      <c r="N19" s="3" t="s">
        <v>38</v>
      </c>
      <c r="O19" s="3" t="s">
        <v>40</v>
      </c>
      <c r="P19" s="3" t="s">
        <v>39</v>
      </c>
      <c r="Q19" s="3" t="s">
        <v>37</v>
      </c>
      <c r="R19" s="3" t="s">
        <v>41</v>
      </c>
      <c r="S19" s="3" t="s">
        <v>35</v>
      </c>
      <c r="T19" s="3" t="s">
        <v>43</v>
      </c>
      <c r="U19" s="3" t="s">
        <v>43</v>
      </c>
      <c r="V19" s="3" t="s">
        <v>43</v>
      </c>
      <c r="W19" s="3" t="s">
        <v>42</v>
      </c>
      <c r="X19" s="3" t="s">
        <v>43</v>
      </c>
      <c r="Y19" s="3" t="s">
        <v>42</v>
      </c>
      <c r="Z19" s="3" t="s">
        <v>43</v>
      </c>
      <c r="AA19" s="3" t="s">
        <v>43</v>
      </c>
      <c r="AB19" s="3" t="s">
        <v>42</v>
      </c>
      <c r="AC19" s="3" t="s">
        <v>43</v>
      </c>
      <c r="AD19" s="3" t="s">
        <v>43</v>
      </c>
      <c r="AE19" s="3">
        <f>IF(G41 = "Москва",1,0)</f>
        <v>0</v>
      </c>
      <c r="AF19">
        <f t="shared" si="3"/>
        <v>0</v>
      </c>
      <c r="AG19">
        <f>IF(U18="Да",1,0)</f>
        <v>0</v>
      </c>
      <c r="AH19">
        <f>IF(V18="Да",1,0)</f>
        <v>0</v>
      </c>
      <c r="AI19">
        <f>IF(W18="Да",1,0)</f>
        <v>1</v>
      </c>
      <c r="AJ19">
        <f>IF(X18="Да",1,0)</f>
        <v>0</v>
      </c>
      <c r="AK19">
        <f>IF(Y18="Да",1,0)</f>
        <v>1</v>
      </c>
      <c r="AL19">
        <f>IF(Z18="Да",1,0)</f>
        <v>0</v>
      </c>
      <c r="AM19">
        <f>IF(AA18="Да",1,0)</f>
        <v>0</v>
      </c>
      <c r="AN19">
        <f>IF(AB18="Да",1,0)</f>
        <v>0</v>
      </c>
      <c r="AO19">
        <f>IF(AC18="Да",1,0)</f>
        <v>0</v>
      </c>
      <c r="AP19">
        <f>IF(AD18="Да",1,0)</f>
        <v>1</v>
      </c>
      <c r="AR19" s="7">
        <f>IF($AE19=1,1.3*(IF(AF19=1,1.4*AX$1,AX$1)),(IF(AF19=1,1.4*AX$1,AX$1)))</f>
        <v>218.07692307692307</v>
      </c>
      <c r="AS19" s="7">
        <f>IF($AE19=1,1.3*(IF(AG19=1,1.4*AY$1,AY$1)),(IF(AG19=1,1.4*AY$1,AY$1)))</f>
        <v>192.30769230769232</v>
      </c>
      <c r="AT19" s="7">
        <f>IF($AE19=1,1.3*(IF(AH19=1,1.4*AZ$1,AZ$1)),(IF(AH19=1,1.4*AZ$1,AZ$1)))</f>
        <v>657.69230769230774</v>
      </c>
      <c r="AU19" s="7">
        <f>IF($AE19=1,1.3*(IF(AI19=1,1.4*BA$1,BA$1)),(IF(AI19=1,1.4*BA$1,BA$1)))</f>
        <v>323.07692307692304</v>
      </c>
      <c r="AV19" s="7">
        <f>IF($AE19=1,1.3*(IF(AJ19=1,1.4*BB$1,BB$1)),(IF(AJ19=1,1.4*BB$1,BB$1)))</f>
        <v>35.384615384615387</v>
      </c>
      <c r="AW19" s="7">
        <f>IF($AE19=1,1.3*(IF(AK19=1,1.4*BC$1,BC$1)),(IF(AK19=1,1.4*BC$1,BC$1)))</f>
        <v>936.92307692307691</v>
      </c>
      <c r="AX19" s="7">
        <f>IF($AE19=1,1.3*(IF(AL19=1,1.4*BD$1,BD$1)),(IF(AL19=1,1.4*BD$1,BD$1)))</f>
        <v>242.30769230769229</v>
      </c>
      <c r="AY19" s="7">
        <f>IF($AE19=1,1.3*(IF(AM19=1,1.4*BE$1,BE$1)),(IF(AM19=1,1.4*BE$1,BE$1)))</f>
        <v>557.69230769230762</v>
      </c>
      <c r="AZ19" s="7">
        <f>IF($AE19=1,1.3*(IF(AN19=1,1.4*BF$1,BF$1)),(IF(AN19=1,1.4*BF$1,BF$1)))</f>
        <v>48.46153846153846</v>
      </c>
      <c r="BA19" s="7">
        <f>IF($AE19=1,1.3*(IF(AO19=1,1.4*BG$1,BG$1)),(IF(AO19=1,1.4*BG$1,BG$1)))</f>
        <v>29.615384615384617</v>
      </c>
      <c r="BB19" s="7">
        <f>IF($AE19=1,1.3*(IF(AP19=1,1.4*BH$1,BH$1)),(IF(AP19=1,1.4*BH$1,BH$1)))</f>
        <v>168.26923076923077</v>
      </c>
      <c r="BC19" s="9">
        <f>SUM(AR19:BB19)</f>
        <v>3409.8076923076928</v>
      </c>
      <c r="BD19">
        <f>BC19*4.2</f>
        <v>14321.19230769231</v>
      </c>
      <c r="BE19">
        <f t="shared" si="2"/>
        <v>28642.384615384621</v>
      </c>
      <c r="BF19">
        <f>IF(AE19=1,$BK$1,$BL$1)</f>
        <v>9230</v>
      </c>
      <c r="BG19">
        <f>BF19-BD19</f>
        <v>-5091.1923076923104</v>
      </c>
      <c r="BH19">
        <f>(H19-BC19)*4.2</f>
        <v>-5921.1923076923104</v>
      </c>
    </row>
    <row r="20" spans="1:60" ht="115.2" x14ac:dyDescent="0.3">
      <c r="A20" s="3" t="s">
        <v>83</v>
      </c>
      <c r="B20" s="3" t="s">
        <v>45</v>
      </c>
      <c r="C20" s="3">
        <v>20</v>
      </c>
      <c r="D20" s="3" t="s">
        <v>32</v>
      </c>
      <c r="E20" s="3" t="s">
        <v>33</v>
      </c>
      <c r="F20" s="3">
        <v>60000</v>
      </c>
      <c r="G20" s="3" t="s">
        <v>127</v>
      </c>
      <c r="H20" s="3" t="s">
        <v>84</v>
      </c>
      <c r="I20" s="3" t="s">
        <v>38</v>
      </c>
      <c r="J20" s="3" t="s">
        <v>38</v>
      </c>
      <c r="K20" s="3" t="s">
        <v>38</v>
      </c>
      <c r="L20" s="3" t="s">
        <v>49</v>
      </c>
      <c r="M20" s="3" t="s">
        <v>48</v>
      </c>
      <c r="N20" s="3" t="s">
        <v>38</v>
      </c>
      <c r="O20" s="3" t="s">
        <v>49</v>
      </c>
      <c r="P20" s="3" t="s">
        <v>38</v>
      </c>
      <c r="Q20" s="3" t="s">
        <v>49</v>
      </c>
      <c r="R20" s="3" t="s">
        <v>49</v>
      </c>
      <c r="S20" s="3" t="s">
        <v>49</v>
      </c>
      <c r="T20" s="3" t="s">
        <v>43</v>
      </c>
      <c r="U20" s="3" t="s">
        <v>43</v>
      </c>
      <c r="V20" s="3" t="s">
        <v>43</v>
      </c>
      <c r="W20" s="3" t="s">
        <v>43</v>
      </c>
      <c r="X20" s="3" t="s">
        <v>43</v>
      </c>
      <c r="Y20" s="3" t="s">
        <v>42</v>
      </c>
      <c r="Z20" s="3" t="s">
        <v>43</v>
      </c>
      <c r="AA20" s="3" t="s">
        <v>42</v>
      </c>
      <c r="AB20" s="3" t="s">
        <v>42</v>
      </c>
      <c r="AC20" s="3" t="s">
        <v>42</v>
      </c>
      <c r="AD20" s="3" t="s">
        <v>43</v>
      </c>
      <c r="AE20" s="3">
        <f>IF(G42 = "Москва",1,0)</f>
        <v>0</v>
      </c>
      <c r="AF20">
        <f t="shared" si="3"/>
        <v>0</v>
      </c>
      <c r="AG20">
        <f>IF(U19="Да",1,0)</f>
        <v>0</v>
      </c>
      <c r="AH20">
        <f>IF(V19="Да",1,0)</f>
        <v>0</v>
      </c>
      <c r="AI20">
        <f>IF(W19="Да",1,0)</f>
        <v>1</v>
      </c>
      <c r="AJ20">
        <f>IF(X19="Да",1,0)</f>
        <v>0</v>
      </c>
      <c r="AK20">
        <f>IF(Y19="Да",1,0)</f>
        <v>1</v>
      </c>
      <c r="AL20">
        <f>IF(Z19="Да",1,0)</f>
        <v>0</v>
      </c>
      <c r="AM20">
        <f>IF(AA19="Да",1,0)</f>
        <v>0</v>
      </c>
      <c r="AN20">
        <f>IF(AB19="Да",1,0)</f>
        <v>1</v>
      </c>
      <c r="AO20">
        <f>IF(AC19="Да",1,0)</f>
        <v>0</v>
      </c>
      <c r="AP20">
        <f>IF(AD19="Да",1,0)</f>
        <v>0</v>
      </c>
      <c r="AR20" s="7">
        <f>IF($AE20=1,1.3*(IF(AF20=1,1.4*AX$1,AX$1)),(IF(AF20=1,1.4*AX$1,AX$1)))</f>
        <v>218.07692307692307</v>
      </c>
      <c r="AS20" s="7">
        <f>IF($AE20=1,1.3*(IF(AG20=1,1.4*AY$1,AY$1)),(IF(AG20=1,1.4*AY$1,AY$1)))</f>
        <v>192.30769230769232</v>
      </c>
      <c r="AT20" s="7">
        <f>IF($AE20=1,1.3*(IF(AH20=1,1.4*AZ$1,AZ$1)),(IF(AH20=1,1.4*AZ$1,AZ$1)))</f>
        <v>657.69230769230774</v>
      </c>
      <c r="AU20" s="7">
        <f>IF($AE20=1,1.3*(IF(AI20=1,1.4*BA$1,BA$1)),(IF(AI20=1,1.4*BA$1,BA$1)))</f>
        <v>323.07692307692304</v>
      </c>
      <c r="AV20" s="7">
        <f>IF($AE20=1,1.3*(IF(AJ20=1,1.4*BB$1,BB$1)),(IF(AJ20=1,1.4*BB$1,BB$1)))</f>
        <v>35.384615384615387</v>
      </c>
      <c r="AW20" s="7">
        <f>IF($AE20=1,1.3*(IF(AK20=1,1.4*BC$1,BC$1)),(IF(AK20=1,1.4*BC$1,BC$1)))</f>
        <v>936.92307692307691</v>
      </c>
      <c r="AX20" s="7">
        <f>IF($AE20=1,1.3*(IF(AL20=1,1.4*BD$1,BD$1)),(IF(AL20=1,1.4*BD$1,BD$1)))</f>
        <v>242.30769230769229</v>
      </c>
      <c r="AY20" s="7">
        <f>IF($AE20=1,1.3*(IF(AM20=1,1.4*BE$1,BE$1)),(IF(AM20=1,1.4*BE$1,BE$1)))</f>
        <v>557.69230769230762</v>
      </c>
      <c r="AZ20" s="7">
        <f>IF($AE20=1,1.3*(IF(AN20=1,1.4*BF$1,BF$1)),(IF(AN20=1,1.4*BF$1,BF$1)))</f>
        <v>67.84615384615384</v>
      </c>
      <c r="BA20" s="7">
        <f>IF($AE20=1,1.3*(IF(AO20=1,1.4*BG$1,BG$1)),(IF(AO20=1,1.4*BG$1,BG$1)))</f>
        <v>29.615384615384617</v>
      </c>
      <c r="BB20" s="7">
        <f>IF($AE20=1,1.3*(IF(AP20=1,1.4*BH$1,BH$1)),(IF(AP20=1,1.4*BH$1,BH$1)))</f>
        <v>120.19230769230769</v>
      </c>
      <c r="BC20" s="9">
        <f>SUM(AR20:BB20)</f>
        <v>3381.1153846153848</v>
      </c>
      <c r="BD20">
        <f>BC20*4.2</f>
        <v>14200.684615384616</v>
      </c>
      <c r="BE20">
        <f t="shared" si="2"/>
        <v>28401.369230769233</v>
      </c>
      <c r="BF20">
        <f>IF(AE20=1,$BK$1,$BL$1)</f>
        <v>9230</v>
      </c>
      <c r="BG20">
        <f>BF20-BD20</f>
        <v>-4970.6846153846163</v>
      </c>
      <c r="BH20">
        <f>(H20-BC20)*4.2</f>
        <v>48799.315384615387</v>
      </c>
    </row>
    <row r="21" spans="1:60" ht="144" x14ac:dyDescent="0.3">
      <c r="A21" s="3" t="s">
        <v>85</v>
      </c>
      <c r="B21" s="3" t="s">
        <v>45</v>
      </c>
      <c r="C21" s="3">
        <v>27</v>
      </c>
      <c r="D21" s="3" t="s">
        <v>46</v>
      </c>
      <c r="E21" s="3" t="s">
        <v>33</v>
      </c>
      <c r="F21" s="3">
        <v>60000</v>
      </c>
      <c r="G21" s="3" t="s">
        <v>127</v>
      </c>
      <c r="H21" s="3" t="s">
        <v>55</v>
      </c>
      <c r="I21" s="3" t="s">
        <v>35</v>
      </c>
      <c r="J21" s="3" t="s">
        <v>36</v>
      </c>
      <c r="K21" s="3" t="s">
        <v>49</v>
      </c>
      <c r="L21" s="3" t="s">
        <v>49</v>
      </c>
      <c r="M21" s="3" t="s">
        <v>39</v>
      </c>
      <c r="N21" s="3" t="s">
        <v>37</v>
      </c>
      <c r="O21" s="3" t="s">
        <v>37</v>
      </c>
      <c r="P21" s="3" t="s">
        <v>38</v>
      </c>
      <c r="Q21" s="3" t="s">
        <v>41</v>
      </c>
      <c r="R21" s="3" t="s">
        <v>35</v>
      </c>
      <c r="S21" s="3" t="s">
        <v>36</v>
      </c>
      <c r="T21" s="3" t="s">
        <v>43</v>
      </c>
      <c r="U21" s="3" t="s">
        <v>42</v>
      </c>
      <c r="V21" s="3" t="s">
        <v>43</v>
      </c>
      <c r="W21" s="3" t="s">
        <v>43</v>
      </c>
      <c r="X21" s="3" t="s">
        <v>43</v>
      </c>
      <c r="Y21" s="3" t="s">
        <v>42</v>
      </c>
      <c r="Z21" s="3" t="s">
        <v>43</v>
      </c>
      <c r="AA21" s="3" t="s">
        <v>42</v>
      </c>
      <c r="AB21" s="3" t="s">
        <v>43</v>
      </c>
      <c r="AC21" s="3" t="s">
        <v>43</v>
      </c>
      <c r="AD21" s="3" t="s">
        <v>43</v>
      </c>
      <c r="AE21" s="3">
        <f>IF(G43 = "Москва",1,0)</f>
        <v>0</v>
      </c>
      <c r="AF21">
        <f t="shared" si="3"/>
        <v>0</v>
      </c>
      <c r="AG21">
        <f>IF(U20="Да",1,0)</f>
        <v>0</v>
      </c>
      <c r="AH21">
        <f>IF(V20="Да",1,0)</f>
        <v>0</v>
      </c>
      <c r="AI21">
        <f>IF(W20="Да",1,0)</f>
        <v>0</v>
      </c>
      <c r="AJ21">
        <f>IF(X20="Да",1,0)</f>
        <v>0</v>
      </c>
      <c r="AK21">
        <f>IF(Y20="Да",1,0)</f>
        <v>1</v>
      </c>
      <c r="AL21">
        <f>IF(Z20="Да",1,0)</f>
        <v>0</v>
      </c>
      <c r="AM21">
        <f>IF(AA20="Да",1,0)</f>
        <v>1</v>
      </c>
      <c r="AN21">
        <f>IF(AB20="Да",1,0)</f>
        <v>1</v>
      </c>
      <c r="AO21">
        <f>IF(AC20="Да",1,0)</f>
        <v>1</v>
      </c>
      <c r="AP21">
        <f>IF(AD20="Да",1,0)</f>
        <v>0</v>
      </c>
      <c r="AR21" s="7">
        <f>IF($AE21=1,1.3*(IF(AF21=1,1.4*AX$1,AX$1)),(IF(AF21=1,1.4*AX$1,AX$1)))</f>
        <v>218.07692307692307</v>
      </c>
      <c r="AS21" s="7">
        <f>IF($AE21=1,1.3*(IF(AG21=1,1.4*AY$1,AY$1)),(IF(AG21=1,1.4*AY$1,AY$1)))</f>
        <v>192.30769230769232</v>
      </c>
      <c r="AT21" s="7">
        <f>IF($AE21=1,1.3*(IF(AH21=1,1.4*AZ$1,AZ$1)),(IF(AH21=1,1.4*AZ$1,AZ$1)))</f>
        <v>657.69230769230774</v>
      </c>
      <c r="AU21" s="7">
        <f>IF($AE21=1,1.3*(IF(AI21=1,1.4*BA$1,BA$1)),(IF(AI21=1,1.4*BA$1,BA$1)))</f>
        <v>230.76923076923075</v>
      </c>
      <c r="AV21" s="7">
        <f>IF($AE21=1,1.3*(IF(AJ21=1,1.4*BB$1,BB$1)),(IF(AJ21=1,1.4*BB$1,BB$1)))</f>
        <v>35.384615384615387</v>
      </c>
      <c r="AW21" s="7">
        <f>IF($AE21=1,1.3*(IF(AK21=1,1.4*BC$1,BC$1)),(IF(AK21=1,1.4*BC$1,BC$1)))</f>
        <v>936.92307692307691</v>
      </c>
      <c r="AX21" s="7">
        <f>IF($AE21=1,1.3*(IF(AL21=1,1.4*BD$1,BD$1)),(IF(AL21=1,1.4*BD$1,BD$1)))</f>
        <v>242.30769230769229</v>
      </c>
      <c r="AY21" s="7">
        <f>IF($AE21=1,1.3*(IF(AM21=1,1.4*BE$1,BE$1)),(IF(AM21=1,1.4*BE$1,BE$1)))</f>
        <v>780.7692307692306</v>
      </c>
      <c r="AZ21" s="7">
        <f>IF($AE21=1,1.3*(IF(AN21=1,1.4*BF$1,BF$1)),(IF(AN21=1,1.4*BF$1,BF$1)))</f>
        <v>67.84615384615384</v>
      </c>
      <c r="BA21" s="7">
        <f>IF($AE21=1,1.3*(IF(AO21=1,1.4*BG$1,BG$1)),(IF(AO21=1,1.4*BG$1,BG$1)))</f>
        <v>41.46153846153846</v>
      </c>
      <c r="BB21" s="7">
        <f>IF($AE21=1,1.3*(IF(AP21=1,1.4*BH$1,BH$1)),(IF(AP21=1,1.4*BH$1,BH$1)))</f>
        <v>120.19230769230769</v>
      </c>
      <c r="BC21" s="9">
        <f>SUM(AR21:BB21)</f>
        <v>3523.7307692307691</v>
      </c>
      <c r="BD21">
        <f>BC21*4.2</f>
        <v>14799.66923076923</v>
      </c>
      <c r="BE21">
        <f t="shared" si="2"/>
        <v>29599.33846153846</v>
      </c>
      <c r="BF21">
        <f>IF(AE21=1,$BK$1,$BL$1)</f>
        <v>9230</v>
      </c>
      <c r="BG21">
        <f>BF21-BD21</f>
        <v>-5569.6692307692301</v>
      </c>
      <c r="BH21">
        <f>(H21-BC21)*4.2</f>
        <v>6200.3307692307699</v>
      </c>
    </row>
    <row r="22" spans="1:60" ht="144" x14ac:dyDescent="0.3">
      <c r="A22" s="3" t="s">
        <v>86</v>
      </c>
      <c r="B22" s="3" t="s">
        <v>31</v>
      </c>
      <c r="C22" s="3">
        <v>20</v>
      </c>
      <c r="D22" s="3" t="s">
        <v>46</v>
      </c>
      <c r="E22" s="3" t="s">
        <v>43</v>
      </c>
      <c r="F22" s="3">
        <v>12000</v>
      </c>
      <c r="G22" s="3" t="s">
        <v>71</v>
      </c>
      <c r="H22" s="3" t="s">
        <v>80</v>
      </c>
      <c r="I22" s="3" t="s">
        <v>40</v>
      </c>
      <c r="J22" s="3" t="s">
        <v>38</v>
      </c>
      <c r="K22" s="3" t="s">
        <v>38</v>
      </c>
      <c r="L22" s="3" t="s">
        <v>39</v>
      </c>
      <c r="M22" s="3" t="s">
        <v>39</v>
      </c>
      <c r="N22" s="3" t="s">
        <v>38</v>
      </c>
      <c r="O22" s="3" t="s">
        <v>48</v>
      </c>
      <c r="P22" s="3" t="s">
        <v>38</v>
      </c>
      <c r="Q22" s="3" t="s">
        <v>39</v>
      </c>
      <c r="R22" s="3" t="s">
        <v>37</v>
      </c>
      <c r="S22" s="3" t="s">
        <v>38</v>
      </c>
      <c r="T22" s="3" t="s">
        <v>43</v>
      </c>
      <c r="U22" s="3" t="s">
        <v>43</v>
      </c>
      <c r="V22" s="3" t="s">
        <v>42</v>
      </c>
      <c r="W22" s="3" t="s">
        <v>43</v>
      </c>
      <c r="X22" s="3" t="s">
        <v>42</v>
      </c>
      <c r="Y22" s="3" t="s">
        <v>43</v>
      </c>
      <c r="Z22" s="3" t="s">
        <v>43</v>
      </c>
      <c r="AA22" s="3" t="s">
        <v>42</v>
      </c>
      <c r="AB22" s="3" t="s">
        <v>43</v>
      </c>
      <c r="AC22" s="3" t="s">
        <v>42</v>
      </c>
      <c r="AD22" s="3" t="s">
        <v>42</v>
      </c>
      <c r="AE22" s="3">
        <f>IF(G44 = "Москва",1,0)</f>
        <v>0</v>
      </c>
      <c r="AF22">
        <f t="shared" si="3"/>
        <v>0</v>
      </c>
      <c r="AG22">
        <f>IF(U21="Да",1,0)</f>
        <v>1</v>
      </c>
      <c r="AH22">
        <f>IF(V21="Да",1,0)</f>
        <v>0</v>
      </c>
      <c r="AI22">
        <f>IF(W21="Да",1,0)</f>
        <v>0</v>
      </c>
      <c r="AJ22">
        <f>IF(X21="Да",1,0)</f>
        <v>0</v>
      </c>
      <c r="AK22">
        <f>IF(Y21="Да",1,0)</f>
        <v>1</v>
      </c>
      <c r="AL22">
        <f>IF(Z21="Да",1,0)</f>
        <v>0</v>
      </c>
      <c r="AM22">
        <f>IF(AA21="Да",1,0)</f>
        <v>1</v>
      </c>
      <c r="AN22">
        <f>IF(AB21="Да",1,0)</f>
        <v>0</v>
      </c>
      <c r="AO22">
        <f>IF(AC21="Да",1,0)</f>
        <v>0</v>
      </c>
      <c r="AP22">
        <f>IF(AD21="Да",1,0)</f>
        <v>0</v>
      </c>
      <c r="AR22" s="7">
        <f>IF($AE22=1,1.3*(IF(AF22=1,1.4*AX$1,AX$1)),(IF(AF22=1,1.4*AX$1,AX$1)))</f>
        <v>218.07692307692307</v>
      </c>
      <c r="AS22" s="7">
        <f>IF($AE22=1,1.3*(IF(AG22=1,1.4*AY$1,AY$1)),(IF(AG22=1,1.4*AY$1,AY$1)))</f>
        <v>269.23076923076923</v>
      </c>
      <c r="AT22" s="7">
        <f>IF($AE22=1,1.3*(IF(AH22=1,1.4*AZ$1,AZ$1)),(IF(AH22=1,1.4*AZ$1,AZ$1)))</f>
        <v>657.69230769230774</v>
      </c>
      <c r="AU22" s="7">
        <f>IF($AE22=1,1.3*(IF(AI22=1,1.4*BA$1,BA$1)),(IF(AI22=1,1.4*BA$1,BA$1)))</f>
        <v>230.76923076923075</v>
      </c>
      <c r="AV22" s="7">
        <f>IF($AE22=1,1.3*(IF(AJ22=1,1.4*BB$1,BB$1)),(IF(AJ22=1,1.4*BB$1,BB$1)))</f>
        <v>35.384615384615387</v>
      </c>
      <c r="AW22" s="7">
        <f>IF($AE22=1,1.3*(IF(AK22=1,1.4*BC$1,BC$1)),(IF(AK22=1,1.4*BC$1,BC$1)))</f>
        <v>936.92307692307691</v>
      </c>
      <c r="AX22" s="7">
        <f>IF($AE22=1,1.3*(IF(AL22=1,1.4*BD$1,BD$1)),(IF(AL22=1,1.4*BD$1,BD$1)))</f>
        <v>242.30769230769229</v>
      </c>
      <c r="AY22" s="7">
        <f>IF($AE22=1,1.3*(IF(AM22=1,1.4*BE$1,BE$1)),(IF(AM22=1,1.4*BE$1,BE$1)))</f>
        <v>780.7692307692306</v>
      </c>
      <c r="AZ22" s="7">
        <f>IF($AE22=1,1.3*(IF(AN22=1,1.4*BF$1,BF$1)),(IF(AN22=1,1.4*BF$1,BF$1)))</f>
        <v>48.46153846153846</v>
      </c>
      <c r="BA22" s="7">
        <f>IF($AE22=1,1.3*(IF(AO22=1,1.4*BG$1,BG$1)),(IF(AO22=1,1.4*BG$1,BG$1)))</f>
        <v>29.615384615384617</v>
      </c>
      <c r="BB22" s="7">
        <f>IF($AE22=1,1.3*(IF(AP22=1,1.4*BH$1,BH$1)),(IF(AP22=1,1.4*BH$1,BH$1)))</f>
        <v>120.19230769230769</v>
      </c>
      <c r="BC22" s="9">
        <f>SUM(AR22:BB22)</f>
        <v>3569.4230769230767</v>
      </c>
      <c r="BD22">
        <f>BC22*4.2</f>
        <v>14991.576923076922</v>
      </c>
      <c r="BE22">
        <f t="shared" si="2"/>
        <v>29983.153846153844</v>
      </c>
      <c r="BF22">
        <f>IF(AE22=1,$BK$1,$BL$1)</f>
        <v>9230</v>
      </c>
      <c r="BG22">
        <f>BF22-BD22</f>
        <v>-5761.576923076922</v>
      </c>
      <c r="BH22">
        <f>(H22-BC22)*4.2</f>
        <v>10208.423076923078</v>
      </c>
    </row>
    <row r="23" spans="1:60" ht="129.6" x14ac:dyDescent="0.3">
      <c r="A23" s="3" t="s">
        <v>87</v>
      </c>
      <c r="B23" s="3" t="s">
        <v>31</v>
      </c>
      <c r="C23" s="3">
        <v>50</v>
      </c>
      <c r="D23" s="3" t="s">
        <v>88</v>
      </c>
      <c r="E23" s="3" t="s">
        <v>33</v>
      </c>
      <c r="F23" s="3">
        <v>12000</v>
      </c>
      <c r="G23" s="3" t="s">
        <v>89</v>
      </c>
      <c r="H23" s="3" t="s">
        <v>55</v>
      </c>
      <c r="I23" s="3" t="s">
        <v>48</v>
      </c>
      <c r="J23" s="3" t="s">
        <v>41</v>
      </c>
      <c r="K23" s="3" t="s">
        <v>40</v>
      </c>
      <c r="L23" s="3" t="s">
        <v>38</v>
      </c>
      <c r="M23" s="3" t="s">
        <v>41</v>
      </c>
      <c r="N23" s="3" t="s">
        <v>37</v>
      </c>
      <c r="O23" s="3" t="s">
        <v>37</v>
      </c>
      <c r="P23" s="3" t="s">
        <v>39</v>
      </c>
      <c r="Q23" s="3" t="s">
        <v>36</v>
      </c>
      <c r="R23" s="3" t="s">
        <v>49</v>
      </c>
      <c r="S23" s="3" t="s">
        <v>36</v>
      </c>
      <c r="T23" s="3" t="s">
        <v>43</v>
      </c>
      <c r="U23" s="3" t="s">
        <v>43</v>
      </c>
      <c r="V23" s="3" t="s">
        <v>43</v>
      </c>
      <c r="W23" s="3" t="s">
        <v>42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42</v>
      </c>
      <c r="AC23" s="3" t="s">
        <v>43</v>
      </c>
      <c r="AD23" s="3" t="s">
        <v>43</v>
      </c>
      <c r="AE23" s="3">
        <f>IF(G45 = "Москва",1,0)</f>
        <v>0</v>
      </c>
      <c r="AF23">
        <f t="shared" si="3"/>
        <v>0</v>
      </c>
      <c r="AG23">
        <f>IF(U22="Да",1,0)</f>
        <v>0</v>
      </c>
      <c r="AH23">
        <f>IF(V22="Да",1,0)</f>
        <v>1</v>
      </c>
      <c r="AI23">
        <f>IF(W22="Да",1,0)</f>
        <v>0</v>
      </c>
      <c r="AJ23">
        <f>IF(X22="Да",1,0)</f>
        <v>1</v>
      </c>
      <c r="AK23">
        <f>IF(Y22="Да",1,0)</f>
        <v>0</v>
      </c>
      <c r="AL23">
        <f>IF(Z22="Да",1,0)</f>
        <v>0</v>
      </c>
      <c r="AM23">
        <f>IF(AA22="Да",1,0)</f>
        <v>1</v>
      </c>
      <c r="AN23">
        <f>IF(AB22="Да",1,0)</f>
        <v>0</v>
      </c>
      <c r="AO23">
        <f>IF(AC22="Да",1,0)</f>
        <v>1</v>
      </c>
      <c r="AP23">
        <f>IF(AD22="Да",1,0)</f>
        <v>1</v>
      </c>
      <c r="AR23" s="7">
        <f>IF($AE23=1,1.3*(IF(AF23=1,1.4*AX$1,AX$1)),(IF(AF23=1,1.4*AX$1,AX$1)))</f>
        <v>218.07692307692307</v>
      </c>
      <c r="AS23" s="7">
        <f>IF($AE23=1,1.3*(IF(AG23=1,1.4*AY$1,AY$1)),(IF(AG23=1,1.4*AY$1,AY$1)))</f>
        <v>192.30769230769232</v>
      </c>
      <c r="AT23" s="7">
        <f>IF($AE23=1,1.3*(IF(AH23=1,1.4*AZ$1,AZ$1)),(IF(AH23=1,1.4*AZ$1,AZ$1)))</f>
        <v>920.76923076923072</v>
      </c>
      <c r="AU23" s="7">
        <f>IF($AE23=1,1.3*(IF(AI23=1,1.4*BA$1,BA$1)),(IF(AI23=1,1.4*BA$1,BA$1)))</f>
        <v>230.76923076923075</v>
      </c>
      <c r="AV23" s="7">
        <f>IF($AE23=1,1.3*(IF(AJ23=1,1.4*BB$1,BB$1)),(IF(AJ23=1,1.4*BB$1,BB$1)))</f>
        <v>49.53846153846154</v>
      </c>
      <c r="AW23" s="7">
        <f>IF($AE23=1,1.3*(IF(AK23=1,1.4*BC$1,BC$1)),(IF(AK23=1,1.4*BC$1,BC$1)))</f>
        <v>669.23076923076928</v>
      </c>
      <c r="AX23" s="7">
        <f>IF($AE23=1,1.3*(IF(AL23=1,1.4*BD$1,BD$1)),(IF(AL23=1,1.4*BD$1,BD$1)))</f>
        <v>242.30769230769229</v>
      </c>
      <c r="AY23" s="7">
        <f>IF($AE23=1,1.3*(IF(AM23=1,1.4*BE$1,BE$1)),(IF(AM23=1,1.4*BE$1,BE$1)))</f>
        <v>780.7692307692306</v>
      </c>
      <c r="AZ23" s="7">
        <f>IF($AE23=1,1.3*(IF(AN23=1,1.4*BF$1,BF$1)),(IF(AN23=1,1.4*BF$1,BF$1)))</f>
        <v>48.46153846153846</v>
      </c>
      <c r="BA23" s="7">
        <f>IF($AE23=1,1.3*(IF(AO23=1,1.4*BG$1,BG$1)),(IF(AO23=1,1.4*BG$1,BG$1)))</f>
        <v>41.46153846153846</v>
      </c>
      <c r="BB23" s="7">
        <f>IF($AE23=1,1.3*(IF(AP23=1,1.4*BH$1,BH$1)),(IF(AP23=1,1.4*BH$1,BH$1)))</f>
        <v>168.26923076923077</v>
      </c>
      <c r="BC23" s="9">
        <f>SUM(AR23:BB23)</f>
        <v>3561.9615384615386</v>
      </c>
      <c r="BD23">
        <f>BC23*4.2</f>
        <v>14960.238461538462</v>
      </c>
      <c r="BE23">
        <f t="shared" si="2"/>
        <v>29920.476923076923</v>
      </c>
      <c r="BF23">
        <f>IF(AE23=1,$BK$1,$BL$1)</f>
        <v>9230</v>
      </c>
      <c r="BG23">
        <f>BF23-BD23</f>
        <v>-5730.2384615384617</v>
      </c>
      <c r="BH23">
        <f>(H23-BC23)*4.2</f>
        <v>6039.7615384615383</v>
      </c>
    </row>
    <row r="24" spans="1:60" ht="115.2" x14ac:dyDescent="0.3">
      <c r="A24" s="3" t="s">
        <v>90</v>
      </c>
      <c r="B24" s="3" t="s">
        <v>31</v>
      </c>
      <c r="C24" s="3">
        <v>20</v>
      </c>
      <c r="D24" s="3" t="s">
        <v>32</v>
      </c>
      <c r="E24" s="3" t="s">
        <v>33</v>
      </c>
      <c r="F24" s="3">
        <v>30000</v>
      </c>
      <c r="G24" s="3" t="s">
        <v>127</v>
      </c>
      <c r="H24" s="3" t="s">
        <v>91</v>
      </c>
      <c r="I24" s="3" t="s">
        <v>39</v>
      </c>
      <c r="J24" s="3" t="s">
        <v>48</v>
      </c>
      <c r="K24" s="3" t="s">
        <v>40</v>
      </c>
      <c r="L24" s="3" t="s">
        <v>40</v>
      </c>
      <c r="M24" s="3" t="s">
        <v>41</v>
      </c>
      <c r="N24" s="3" t="s">
        <v>37</v>
      </c>
      <c r="O24" s="3" t="s">
        <v>49</v>
      </c>
      <c r="P24" s="3" t="s">
        <v>40</v>
      </c>
      <c r="Q24" s="3" t="s">
        <v>40</v>
      </c>
      <c r="R24" s="3" t="s">
        <v>39</v>
      </c>
      <c r="S24" s="3" t="s">
        <v>40</v>
      </c>
      <c r="T24" s="3" t="s">
        <v>43</v>
      </c>
      <c r="U24" s="3" t="s">
        <v>43</v>
      </c>
      <c r="V24" s="3" t="s">
        <v>42</v>
      </c>
      <c r="W24" s="3" t="s">
        <v>42</v>
      </c>
      <c r="X24" s="3" t="s">
        <v>43</v>
      </c>
      <c r="Y24" s="3" t="s">
        <v>42</v>
      </c>
      <c r="Z24" s="3" t="s">
        <v>43</v>
      </c>
      <c r="AA24" s="3" t="s">
        <v>43</v>
      </c>
      <c r="AB24" s="3" t="s">
        <v>42</v>
      </c>
      <c r="AC24" s="3" t="s">
        <v>43</v>
      </c>
      <c r="AD24" s="3" t="s">
        <v>42</v>
      </c>
      <c r="AE24" s="3">
        <f>IF(G46 = "Москва",1,0)</f>
        <v>0</v>
      </c>
      <c r="AF24">
        <f t="shared" si="3"/>
        <v>0</v>
      </c>
      <c r="AG24">
        <f>IF(U23="Да",1,0)</f>
        <v>0</v>
      </c>
      <c r="AH24">
        <f>IF(V23="Да",1,0)</f>
        <v>0</v>
      </c>
      <c r="AI24">
        <f>IF(W23="Да",1,0)</f>
        <v>1</v>
      </c>
      <c r="AJ24">
        <f>IF(X23="Да",1,0)</f>
        <v>0</v>
      </c>
      <c r="AK24">
        <f>IF(Y23="Да",1,0)</f>
        <v>0</v>
      </c>
      <c r="AL24">
        <f>IF(Z23="Да",1,0)</f>
        <v>0</v>
      </c>
      <c r="AM24">
        <f>IF(AA23="Да",1,0)</f>
        <v>0</v>
      </c>
      <c r="AN24">
        <f>IF(AB23="Да",1,0)</f>
        <v>1</v>
      </c>
      <c r="AO24">
        <f>IF(AC23="Да",1,0)</f>
        <v>0</v>
      </c>
      <c r="AP24">
        <f>IF(AD23="Да",1,0)</f>
        <v>0</v>
      </c>
      <c r="AR24" s="7">
        <f>IF($AE24=1,1.3*(IF(AF24=1,1.4*AX$1,AX$1)),(IF(AF24=1,1.4*AX$1,AX$1)))</f>
        <v>218.07692307692307</v>
      </c>
      <c r="AS24" s="7">
        <f>IF($AE24=1,1.3*(IF(AG24=1,1.4*AY$1,AY$1)),(IF(AG24=1,1.4*AY$1,AY$1)))</f>
        <v>192.30769230769232</v>
      </c>
      <c r="AT24" s="7">
        <f>IF($AE24=1,1.3*(IF(AH24=1,1.4*AZ$1,AZ$1)),(IF(AH24=1,1.4*AZ$1,AZ$1)))</f>
        <v>657.69230769230774</v>
      </c>
      <c r="AU24" s="7">
        <f>IF($AE24=1,1.3*(IF(AI24=1,1.4*BA$1,BA$1)),(IF(AI24=1,1.4*BA$1,BA$1)))</f>
        <v>323.07692307692304</v>
      </c>
      <c r="AV24" s="7">
        <f>IF($AE24=1,1.3*(IF(AJ24=1,1.4*BB$1,BB$1)),(IF(AJ24=1,1.4*BB$1,BB$1)))</f>
        <v>35.384615384615387</v>
      </c>
      <c r="AW24" s="7">
        <f>IF($AE24=1,1.3*(IF(AK24=1,1.4*BC$1,BC$1)),(IF(AK24=1,1.4*BC$1,BC$1)))</f>
        <v>669.23076923076928</v>
      </c>
      <c r="AX24" s="7">
        <f>IF($AE24=1,1.3*(IF(AL24=1,1.4*BD$1,BD$1)),(IF(AL24=1,1.4*BD$1,BD$1)))</f>
        <v>242.30769230769229</v>
      </c>
      <c r="AY24" s="7">
        <f>IF($AE24=1,1.3*(IF(AM24=1,1.4*BE$1,BE$1)),(IF(AM24=1,1.4*BE$1,BE$1)))</f>
        <v>557.69230769230762</v>
      </c>
      <c r="AZ24" s="7">
        <f>IF($AE24=1,1.3*(IF(AN24=1,1.4*BF$1,BF$1)),(IF(AN24=1,1.4*BF$1,BF$1)))</f>
        <v>67.84615384615384</v>
      </c>
      <c r="BA24" s="7">
        <f>IF($AE24=1,1.3*(IF(AO24=1,1.4*BG$1,BG$1)),(IF(AO24=1,1.4*BG$1,BG$1)))</f>
        <v>29.615384615384617</v>
      </c>
      <c r="BB24" s="7">
        <f>IF($AE24=1,1.3*(IF(AP24=1,1.4*BH$1,BH$1)),(IF(AP24=1,1.4*BH$1,BH$1)))</f>
        <v>120.19230769230769</v>
      </c>
      <c r="BC24" s="9">
        <f>SUM(AR24:BB24)</f>
        <v>3113.4230769230771</v>
      </c>
      <c r="BD24">
        <f>BC24*4.2</f>
        <v>13076.376923076925</v>
      </c>
      <c r="BE24">
        <f t="shared" si="2"/>
        <v>26152.75384615385</v>
      </c>
      <c r="BF24">
        <f>IF(AE24=1,$BK$1,$BL$1)</f>
        <v>9230</v>
      </c>
      <c r="BG24">
        <f>BF24-BD24</f>
        <v>-3846.3769230769249</v>
      </c>
      <c r="BH24">
        <f>(H24-BC24)*4.2</f>
        <v>28923.623076923079</v>
      </c>
    </row>
    <row r="25" spans="1:60" ht="115.2" x14ac:dyDescent="0.3">
      <c r="A25" s="3" t="s">
        <v>92</v>
      </c>
      <c r="B25" s="3" t="s">
        <v>31</v>
      </c>
      <c r="C25" s="3">
        <v>20</v>
      </c>
      <c r="D25" s="3" t="s">
        <v>32</v>
      </c>
      <c r="E25" s="3" t="s">
        <v>43</v>
      </c>
      <c r="F25" s="3">
        <v>60000</v>
      </c>
      <c r="G25" s="3" t="s">
        <v>127</v>
      </c>
      <c r="H25" s="3" t="s">
        <v>53</v>
      </c>
      <c r="I25" s="3" t="s">
        <v>38</v>
      </c>
      <c r="J25" s="3" t="s">
        <v>41</v>
      </c>
      <c r="K25" s="3" t="s">
        <v>37</v>
      </c>
      <c r="L25" s="3" t="s">
        <v>39</v>
      </c>
      <c r="M25" s="3" t="s">
        <v>41</v>
      </c>
      <c r="N25" s="3" t="s">
        <v>37</v>
      </c>
      <c r="O25" s="3" t="s">
        <v>41</v>
      </c>
      <c r="P25" s="3" t="s">
        <v>38</v>
      </c>
      <c r="Q25" s="3" t="s">
        <v>49</v>
      </c>
      <c r="R25" s="3" t="s">
        <v>40</v>
      </c>
      <c r="S25" s="3" t="s">
        <v>38</v>
      </c>
      <c r="T25" s="3" t="s">
        <v>42</v>
      </c>
      <c r="U25" s="3" t="s">
        <v>43</v>
      </c>
      <c r="V25" s="3" t="s">
        <v>42</v>
      </c>
      <c r="W25" s="3" t="s">
        <v>43</v>
      </c>
      <c r="X25" s="3" t="s">
        <v>43</v>
      </c>
      <c r="Y25" s="3" t="s">
        <v>42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42</v>
      </c>
      <c r="AE25" s="3">
        <f>IF(G47 = "Москва",1,0)</f>
        <v>0</v>
      </c>
      <c r="AF25">
        <f t="shared" si="3"/>
        <v>1</v>
      </c>
      <c r="AG25">
        <f>IF(U24="Да",1,0)</f>
        <v>0</v>
      </c>
      <c r="AH25">
        <f>IF(V24="Да",1,0)</f>
        <v>1</v>
      </c>
      <c r="AI25">
        <f>IF(W24="Да",1,0)</f>
        <v>1</v>
      </c>
      <c r="AJ25">
        <f>IF(X24="Да",1,0)</f>
        <v>0</v>
      </c>
      <c r="AK25">
        <f>IF(Y24="Да",1,0)</f>
        <v>1</v>
      </c>
      <c r="AL25">
        <f>IF(Z24="Да",1,0)</f>
        <v>0</v>
      </c>
      <c r="AM25">
        <f>IF(AA24="Да",1,0)</f>
        <v>0</v>
      </c>
      <c r="AN25">
        <f>IF(AB24="Да",1,0)</f>
        <v>1</v>
      </c>
      <c r="AO25">
        <f>IF(AC24="Да",1,0)</f>
        <v>0</v>
      </c>
      <c r="AP25">
        <f>IF(AD24="Да",1,0)</f>
        <v>1</v>
      </c>
      <c r="AR25" s="7">
        <f>IF($AE25=1,1.3*(IF(AF25=1,1.4*AX$1,AX$1)),(IF(AF25=1,1.4*AX$1,AX$1)))</f>
        <v>305.30769230769226</v>
      </c>
      <c r="AS25" s="7">
        <f>IF($AE25=1,1.3*(IF(AG25=1,1.4*AY$1,AY$1)),(IF(AG25=1,1.4*AY$1,AY$1)))</f>
        <v>192.30769230769232</v>
      </c>
      <c r="AT25" s="7">
        <f>IF($AE25=1,1.3*(IF(AH25=1,1.4*AZ$1,AZ$1)),(IF(AH25=1,1.4*AZ$1,AZ$1)))</f>
        <v>920.76923076923072</v>
      </c>
      <c r="AU25" s="7">
        <f>IF($AE25=1,1.3*(IF(AI25=1,1.4*BA$1,BA$1)),(IF(AI25=1,1.4*BA$1,BA$1)))</f>
        <v>323.07692307692304</v>
      </c>
      <c r="AV25" s="7">
        <f>IF($AE25=1,1.3*(IF(AJ25=1,1.4*BB$1,BB$1)),(IF(AJ25=1,1.4*BB$1,BB$1)))</f>
        <v>35.384615384615387</v>
      </c>
      <c r="AW25" s="7">
        <f>IF($AE25=1,1.3*(IF(AK25=1,1.4*BC$1,BC$1)),(IF(AK25=1,1.4*BC$1,BC$1)))</f>
        <v>936.92307692307691</v>
      </c>
      <c r="AX25" s="7">
        <f>IF($AE25=1,1.3*(IF(AL25=1,1.4*BD$1,BD$1)),(IF(AL25=1,1.4*BD$1,BD$1)))</f>
        <v>242.30769230769229</v>
      </c>
      <c r="AY25" s="7">
        <f>IF($AE25=1,1.3*(IF(AM25=1,1.4*BE$1,BE$1)),(IF(AM25=1,1.4*BE$1,BE$1)))</f>
        <v>557.69230769230762</v>
      </c>
      <c r="AZ25" s="7">
        <f>IF($AE25=1,1.3*(IF(AN25=1,1.4*BF$1,BF$1)),(IF(AN25=1,1.4*BF$1,BF$1)))</f>
        <v>67.84615384615384</v>
      </c>
      <c r="BA25" s="7">
        <f>IF($AE25=1,1.3*(IF(AO25=1,1.4*BG$1,BG$1)),(IF(AO25=1,1.4*BG$1,BG$1)))</f>
        <v>29.615384615384617</v>
      </c>
      <c r="BB25" s="7">
        <f>IF($AE25=1,1.3*(IF(AP25=1,1.4*BH$1,BH$1)),(IF(AP25=1,1.4*BH$1,BH$1)))</f>
        <v>168.26923076923077</v>
      </c>
      <c r="BC25" s="9">
        <f>SUM(AR25:BB25)</f>
        <v>3779.5</v>
      </c>
      <c r="BD25">
        <f>BC25*4.2</f>
        <v>15873.900000000001</v>
      </c>
      <c r="BE25">
        <f t="shared" si="2"/>
        <v>31747.800000000003</v>
      </c>
      <c r="BF25">
        <f>IF(AE25=1,$BK$1,$BL$1)</f>
        <v>9230</v>
      </c>
      <c r="BG25">
        <f>BF25-BD25</f>
        <v>-6643.9000000000015</v>
      </c>
      <c r="BH25">
        <f>(H25-BC25)*4.2</f>
        <v>926.1</v>
      </c>
    </row>
    <row r="26" spans="1:60" ht="144" x14ac:dyDescent="0.3">
      <c r="A26" s="3" t="s">
        <v>93</v>
      </c>
      <c r="B26" s="3" t="s">
        <v>45</v>
      </c>
      <c r="C26" s="3">
        <v>20</v>
      </c>
      <c r="D26" s="3" t="s">
        <v>46</v>
      </c>
      <c r="E26" s="3" t="s">
        <v>33</v>
      </c>
      <c r="F26" s="3">
        <v>60000</v>
      </c>
      <c r="G26" s="3" t="s">
        <v>127</v>
      </c>
      <c r="H26" s="3">
        <v>5000</v>
      </c>
      <c r="I26" s="3" t="s">
        <v>39</v>
      </c>
      <c r="J26" s="3" t="s">
        <v>49</v>
      </c>
      <c r="K26" s="3" t="s">
        <v>35</v>
      </c>
      <c r="L26" s="3" t="s">
        <v>36</v>
      </c>
      <c r="M26" s="3" t="s">
        <v>49</v>
      </c>
      <c r="N26" s="3" t="s">
        <v>37</v>
      </c>
      <c r="O26" s="3" t="s">
        <v>37</v>
      </c>
      <c r="P26" s="3" t="s">
        <v>39</v>
      </c>
      <c r="Q26" s="3" t="s">
        <v>35</v>
      </c>
      <c r="R26" s="3" t="s">
        <v>39</v>
      </c>
      <c r="S26" s="3" t="s">
        <v>40</v>
      </c>
      <c r="T26" s="3" t="s">
        <v>43</v>
      </c>
      <c r="U26" s="3" t="s">
        <v>43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42</v>
      </c>
      <c r="AB26" s="3" t="s">
        <v>42</v>
      </c>
      <c r="AC26" s="3" t="s">
        <v>43</v>
      </c>
      <c r="AD26" s="3" t="s">
        <v>42</v>
      </c>
      <c r="AE26" s="3">
        <f>IF(G48 = "Москва",1,0)</f>
        <v>0</v>
      </c>
      <c r="AF26">
        <f t="shared" si="3"/>
        <v>0</v>
      </c>
      <c r="AG26">
        <f>IF(U25="Да",1,0)</f>
        <v>0</v>
      </c>
      <c r="AH26">
        <f>IF(V25="Да",1,0)</f>
        <v>1</v>
      </c>
      <c r="AI26">
        <f>IF(W25="Да",1,0)</f>
        <v>0</v>
      </c>
      <c r="AJ26">
        <f>IF(X25="Да",1,0)</f>
        <v>0</v>
      </c>
      <c r="AK26">
        <f>IF(Y25="Да",1,0)</f>
        <v>1</v>
      </c>
      <c r="AL26">
        <f>IF(Z25="Да",1,0)</f>
        <v>0</v>
      </c>
      <c r="AM26">
        <f>IF(AA25="Да",1,0)</f>
        <v>0</v>
      </c>
      <c r="AN26">
        <f>IF(AB25="Да",1,0)</f>
        <v>0</v>
      </c>
      <c r="AO26">
        <f>IF(AC25="Да",1,0)</f>
        <v>0</v>
      </c>
      <c r="AP26">
        <f>IF(AD25="Да",1,0)</f>
        <v>1</v>
      </c>
      <c r="AR26" s="7">
        <f>IF($AE26=1,1.3*(IF(AF26=1,1.4*AX$1,AX$1)),(IF(AF26=1,1.4*AX$1,AX$1)))</f>
        <v>218.07692307692307</v>
      </c>
      <c r="AS26" s="7">
        <f>IF($AE26=1,1.3*(IF(AG26=1,1.4*AY$1,AY$1)),(IF(AG26=1,1.4*AY$1,AY$1)))</f>
        <v>192.30769230769232</v>
      </c>
      <c r="AT26" s="7">
        <f>IF($AE26=1,1.3*(IF(AH26=1,1.4*AZ$1,AZ$1)),(IF(AH26=1,1.4*AZ$1,AZ$1)))</f>
        <v>920.76923076923072</v>
      </c>
      <c r="AU26" s="7">
        <f>IF($AE26=1,1.3*(IF(AI26=1,1.4*BA$1,BA$1)),(IF(AI26=1,1.4*BA$1,BA$1)))</f>
        <v>230.76923076923075</v>
      </c>
      <c r="AV26" s="7">
        <f>IF($AE26=1,1.3*(IF(AJ26=1,1.4*BB$1,BB$1)),(IF(AJ26=1,1.4*BB$1,BB$1)))</f>
        <v>35.384615384615387</v>
      </c>
      <c r="AW26" s="7">
        <f>IF($AE26=1,1.3*(IF(AK26=1,1.4*BC$1,BC$1)),(IF(AK26=1,1.4*BC$1,BC$1)))</f>
        <v>936.92307692307691</v>
      </c>
      <c r="AX26" s="7">
        <f>IF($AE26=1,1.3*(IF(AL26=1,1.4*BD$1,BD$1)),(IF(AL26=1,1.4*BD$1,BD$1)))</f>
        <v>242.30769230769229</v>
      </c>
      <c r="AY26" s="7">
        <f>IF($AE26=1,1.3*(IF(AM26=1,1.4*BE$1,BE$1)),(IF(AM26=1,1.4*BE$1,BE$1)))</f>
        <v>557.69230769230762</v>
      </c>
      <c r="AZ26" s="7">
        <f>IF($AE26=1,1.3*(IF(AN26=1,1.4*BF$1,BF$1)),(IF(AN26=1,1.4*BF$1,BF$1)))</f>
        <v>48.46153846153846</v>
      </c>
      <c r="BA26" s="7">
        <f>IF($AE26=1,1.3*(IF(AO26=1,1.4*BG$1,BG$1)),(IF(AO26=1,1.4*BG$1,BG$1)))</f>
        <v>29.615384615384617</v>
      </c>
      <c r="BB26" s="7">
        <f>IF($AE26=1,1.3*(IF(AP26=1,1.4*BH$1,BH$1)),(IF(AP26=1,1.4*BH$1,BH$1)))</f>
        <v>168.26923076923077</v>
      </c>
      <c r="BC26" s="9">
        <f>SUM(AR26:BB26)</f>
        <v>3580.5769230769238</v>
      </c>
      <c r="BD26">
        <f>BC26*4.2</f>
        <v>15038.42307692308</v>
      </c>
      <c r="BE26">
        <f t="shared" si="2"/>
        <v>30076.84615384616</v>
      </c>
      <c r="BF26">
        <f>IF(AE26=1,$BK$1,$BL$1)</f>
        <v>9230</v>
      </c>
      <c r="BG26">
        <f>BF26-BD26</f>
        <v>-5808.4230769230799</v>
      </c>
      <c r="BH26">
        <f>(H26-BC26)*4.2</f>
        <v>5961.5769230769201</v>
      </c>
    </row>
    <row r="27" spans="1:60" ht="115.2" x14ac:dyDescent="0.3">
      <c r="A27" s="3" t="s">
        <v>94</v>
      </c>
      <c r="B27" s="3" t="s">
        <v>45</v>
      </c>
      <c r="C27" s="3">
        <v>20</v>
      </c>
      <c r="D27" s="3" t="s">
        <v>32</v>
      </c>
      <c r="E27" s="3" t="s">
        <v>33</v>
      </c>
      <c r="F27" s="3">
        <v>30000</v>
      </c>
      <c r="G27" s="3" t="s">
        <v>127</v>
      </c>
      <c r="H27" s="3" t="s">
        <v>91</v>
      </c>
      <c r="I27" s="3" t="s">
        <v>39</v>
      </c>
      <c r="J27" s="3" t="s">
        <v>39</v>
      </c>
      <c r="K27" s="3" t="s">
        <v>37</v>
      </c>
      <c r="L27" s="3" t="s">
        <v>59</v>
      </c>
      <c r="M27" s="3" t="s">
        <v>49</v>
      </c>
      <c r="N27" s="3" t="s">
        <v>38</v>
      </c>
      <c r="O27" s="3" t="s">
        <v>48</v>
      </c>
      <c r="P27" s="3" t="s">
        <v>38</v>
      </c>
      <c r="Q27" s="3" t="s">
        <v>49</v>
      </c>
      <c r="R27" s="3" t="s">
        <v>37</v>
      </c>
      <c r="S27" s="3" t="s">
        <v>37</v>
      </c>
      <c r="T27" s="3" t="s">
        <v>43</v>
      </c>
      <c r="U27" s="3" t="s">
        <v>43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>
        <f>IF(G49 = "Москва",1,0)</f>
        <v>0</v>
      </c>
      <c r="AF27">
        <f t="shared" si="3"/>
        <v>0</v>
      </c>
      <c r="AG27">
        <f>IF(U26="Да",1,0)</f>
        <v>0</v>
      </c>
      <c r="AH27">
        <f>IF(V26="Да",1,0)</f>
        <v>0</v>
      </c>
      <c r="AI27">
        <f>IF(W26="Да",1,0)</f>
        <v>0</v>
      </c>
      <c r="AJ27">
        <f>IF(X26="Да",1,0)</f>
        <v>0</v>
      </c>
      <c r="AK27">
        <f>IF(Y26="Да",1,0)</f>
        <v>0</v>
      </c>
      <c r="AL27">
        <f>IF(Z26="Да",1,0)</f>
        <v>0</v>
      </c>
      <c r="AM27">
        <f>IF(AA26="Да",1,0)</f>
        <v>1</v>
      </c>
      <c r="AN27">
        <f>IF(AB26="Да",1,0)</f>
        <v>1</v>
      </c>
      <c r="AO27">
        <f>IF(AC26="Да",1,0)</f>
        <v>0</v>
      </c>
      <c r="AP27">
        <f>IF(AD26="Да",1,0)</f>
        <v>1</v>
      </c>
      <c r="AR27" s="7">
        <f>IF($AE27=1,1.3*(IF(AF27=1,1.4*AX$1,AX$1)),(IF(AF27=1,1.4*AX$1,AX$1)))</f>
        <v>218.07692307692307</v>
      </c>
      <c r="AS27" s="7">
        <f>IF($AE27=1,1.3*(IF(AG27=1,1.4*AY$1,AY$1)),(IF(AG27=1,1.4*AY$1,AY$1)))</f>
        <v>192.30769230769232</v>
      </c>
      <c r="AT27" s="7">
        <f>IF($AE27=1,1.3*(IF(AH27=1,1.4*AZ$1,AZ$1)),(IF(AH27=1,1.4*AZ$1,AZ$1)))</f>
        <v>657.69230769230774</v>
      </c>
      <c r="AU27" s="7">
        <f>IF($AE27=1,1.3*(IF(AI27=1,1.4*BA$1,BA$1)),(IF(AI27=1,1.4*BA$1,BA$1)))</f>
        <v>230.76923076923075</v>
      </c>
      <c r="AV27" s="7">
        <f>IF($AE27=1,1.3*(IF(AJ27=1,1.4*BB$1,BB$1)),(IF(AJ27=1,1.4*BB$1,BB$1)))</f>
        <v>35.384615384615387</v>
      </c>
      <c r="AW27" s="7">
        <f>IF($AE27=1,1.3*(IF(AK27=1,1.4*BC$1,BC$1)),(IF(AK27=1,1.4*BC$1,BC$1)))</f>
        <v>669.23076923076928</v>
      </c>
      <c r="AX27" s="7">
        <f>IF($AE27=1,1.3*(IF(AL27=1,1.4*BD$1,BD$1)),(IF(AL27=1,1.4*BD$1,BD$1)))</f>
        <v>242.30769230769229</v>
      </c>
      <c r="AY27" s="7">
        <f>IF($AE27=1,1.3*(IF(AM27=1,1.4*BE$1,BE$1)),(IF(AM27=1,1.4*BE$1,BE$1)))</f>
        <v>780.7692307692306</v>
      </c>
      <c r="AZ27" s="7">
        <f>IF($AE27=1,1.3*(IF(AN27=1,1.4*BF$1,BF$1)),(IF(AN27=1,1.4*BF$1,BF$1)))</f>
        <v>67.84615384615384</v>
      </c>
      <c r="BA27" s="7">
        <f>IF($AE27=1,1.3*(IF(AO27=1,1.4*BG$1,BG$1)),(IF(AO27=1,1.4*BG$1,BG$1)))</f>
        <v>29.615384615384617</v>
      </c>
      <c r="BB27" s="7">
        <f>IF($AE27=1,1.3*(IF(AP27=1,1.4*BH$1,BH$1)),(IF(AP27=1,1.4*BH$1,BH$1)))</f>
        <v>168.26923076923077</v>
      </c>
      <c r="BC27" s="9">
        <f>SUM(AR27:BB27)</f>
        <v>3292.2692307692309</v>
      </c>
      <c r="BD27">
        <f>BC27*4.2</f>
        <v>13827.530769230771</v>
      </c>
      <c r="BE27">
        <f t="shared" si="2"/>
        <v>27655.061538461541</v>
      </c>
      <c r="BF27">
        <f>IF(AE27=1,$BK$1,$BL$1)</f>
        <v>9230</v>
      </c>
      <c r="BG27">
        <f>BF27-BD27</f>
        <v>-4597.5307692307706</v>
      </c>
      <c r="BH27">
        <f>(H27-BC27)*4.2</f>
        <v>28172.469230769235</v>
      </c>
    </row>
    <row r="28" spans="1:60" ht="115.2" x14ac:dyDescent="0.3">
      <c r="A28" s="3" t="s">
        <v>95</v>
      </c>
      <c r="B28" s="3" t="s">
        <v>31</v>
      </c>
      <c r="C28" s="3">
        <v>20</v>
      </c>
      <c r="D28" s="3" t="s">
        <v>32</v>
      </c>
      <c r="E28" s="3" t="s">
        <v>33</v>
      </c>
      <c r="F28" s="3">
        <v>60000</v>
      </c>
      <c r="G28" s="3" t="s">
        <v>127</v>
      </c>
      <c r="H28" s="3" t="s">
        <v>73</v>
      </c>
      <c r="I28" s="3" t="s">
        <v>37</v>
      </c>
      <c r="J28" s="3" t="s">
        <v>49</v>
      </c>
      <c r="K28" s="3" t="s">
        <v>38</v>
      </c>
      <c r="L28" s="3" t="s">
        <v>38</v>
      </c>
      <c r="M28" s="3" t="s">
        <v>49</v>
      </c>
      <c r="N28" s="3" t="s">
        <v>40</v>
      </c>
      <c r="O28" s="3" t="s">
        <v>39</v>
      </c>
      <c r="P28" s="3" t="s">
        <v>39</v>
      </c>
      <c r="Q28" s="3" t="s">
        <v>40</v>
      </c>
      <c r="R28" s="3" t="s">
        <v>49</v>
      </c>
      <c r="S28" s="3" t="s">
        <v>38</v>
      </c>
      <c r="T28" s="3" t="s">
        <v>42</v>
      </c>
      <c r="U28" s="3" t="s">
        <v>43</v>
      </c>
      <c r="V28" s="3" t="s">
        <v>43</v>
      </c>
      <c r="W28" s="3" t="s">
        <v>42</v>
      </c>
      <c r="X28" s="3" t="s">
        <v>43</v>
      </c>
      <c r="Y28" s="3" t="s">
        <v>42</v>
      </c>
      <c r="Z28" s="3" t="s">
        <v>43</v>
      </c>
      <c r="AA28" s="3" t="s">
        <v>43</v>
      </c>
      <c r="AB28" s="3" t="s">
        <v>42</v>
      </c>
      <c r="AC28" s="3" t="s">
        <v>43</v>
      </c>
      <c r="AD28" s="3" t="s">
        <v>42</v>
      </c>
      <c r="AE28" s="3">
        <f>IF(G50 = "Москва",1,0)</f>
        <v>0</v>
      </c>
      <c r="AF28">
        <f t="shared" si="3"/>
        <v>1</v>
      </c>
      <c r="AG28">
        <f>IF(U27="Да",1,0)</f>
        <v>0</v>
      </c>
      <c r="AH28">
        <f>IF(V27="Да",1,0)</f>
        <v>0</v>
      </c>
      <c r="AI28">
        <f>IF(W27="Да",1,0)</f>
        <v>0</v>
      </c>
      <c r="AJ28">
        <f>IF(X27="Да",1,0)</f>
        <v>0</v>
      </c>
      <c r="AK28">
        <f>IF(Y27="Да",1,0)</f>
        <v>0</v>
      </c>
      <c r="AL28">
        <f>IF(Z27="Да",1,0)</f>
        <v>0</v>
      </c>
      <c r="AM28">
        <f>IF(AA27="Да",1,0)</f>
        <v>0</v>
      </c>
      <c r="AN28">
        <f>IF(AB27="Да",1,0)</f>
        <v>0</v>
      </c>
      <c r="AO28">
        <f>IF(AC27="Да",1,0)</f>
        <v>0</v>
      </c>
      <c r="AP28">
        <f>IF(AD27="Да",1,0)</f>
        <v>0</v>
      </c>
      <c r="AR28" s="7">
        <f>IF($AE28=1,1.3*(IF(AF28=1,1.4*AX$1,AX$1)),(IF(AF28=1,1.4*AX$1,AX$1)))</f>
        <v>305.30769230769226</v>
      </c>
      <c r="AS28" s="7">
        <f>IF($AE28=1,1.3*(IF(AG28=1,1.4*AY$1,AY$1)),(IF(AG28=1,1.4*AY$1,AY$1)))</f>
        <v>192.30769230769232</v>
      </c>
      <c r="AT28" s="7">
        <f>IF($AE28=1,1.3*(IF(AH28=1,1.4*AZ$1,AZ$1)),(IF(AH28=1,1.4*AZ$1,AZ$1)))</f>
        <v>657.69230769230774</v>
      </c>
      <c r="AU28" s="7">
        <f>IF($AE28=1,1.3*(IF(AI28=1,1.4*BA$1,BA$1)),(IF(AI28=1,1.4*BA$1,BA$1)))</f>
        <v>230.76923076923075</v>
      </c>
      <c r="AV28" s="7">
        <f>IF($AE28=1,1.3*(IF(AJ28=1,1.4*BB$1,BB$1)),(IF(AJ28=1,1.4*BB$1,BB$1)))</f>
        <v>35.384615384615387</v>
      </c>
      <c r="AW28" s="7">
        <f>IF($AE28=1,1.3*(IF(AK28=1,1.4*BC$1,BC$1)),(IF(AK28=1,1.4*BC$1,BC$1)))</f>
        <v>669.23076923076928</v>
      </c>
      <c r="AX28" s="7">
        <f>IF($AE28=1,1.3*(IF(AL28=1,1.4*BD$1,BD$1)),(IF(AL28=1,1.4*BD$1,BD$1)))</f>
        <v>242.30769230769229</v>
      </c>
      <c r="AY28" s="7">
        <f>IF($AE28=1,1.3*(IF(AM28=1,1.4*BE$1,BE$1)),(IF(AM28=1,1.4*BE$1,BE$1)))</f>
        <v>557.69230769230762</v>
      </c>
      <c r="AZ28" s="7">
        <f>IF($AE28=1,1.3*(IF(AN28=1,1.4*BF$1,BF$1)),(IF(AN28=1,1.4*BF$1,BF$1)))</f>
        <v>48.46153846153846</v>
      </c>
      <c r="BA28" s="7">
        <f>IF($AE28=1,1.3*(IF(AO28=1,1.4*BG$1,BG$1)),(IF(AO28=1,1.4*BG$1,BG$1)))</f>
        <v>29.615384615384617</v>
      </c>
      <c r="BB28" s="7">
        <f>IF($AE28=1,1.3*(IF(AP28=1,1.4*BH$1,BH$1)),(IF(AP28=1,1.4*BH$1,BH$1)))</f>
        <v>120.19230769230769</v>
      </c>
      <c r="BC28" s="9">
        <f>SUM(AR28:BB28)</f>
        <v>3088.9615384615386</v>
      </c>
      <c r="BD28">
        <f>BC28*4.2</f>
        <v>12973.638461538463</v>
      </c>
      <c r="BE28">
        <f t="shared" si="2"/>
        <v>25947.276923076926</v>
      </c>
      <c r="BF28">
        <f>IF(AE28=1,$BK$1,$BL$1)</f>
        <v>9230</v>
      </c>
      <c r="BG28">
        <f>BF28-BD28</f>
        <v>-3743.6384615384632</v>
      </c>
      <c r="BH28">
        <f>(H28-BC28)*4.2</f>
        <v>16426.36153846154</v>
      </c>
    </row>
    <row r="29" spans="1:60" ht="144" x14ac:dyDescent="0.3">
      <c r="A29" s="3" t="s">
        <v>96</v>
      </c>
      <c r="B29" s="3" t="s">
        <v>31</v>
      </c>
      <c r="C29" s="3">
        <v>20</v>
      </c>
      <c r="D29" s="3" t="s">
        <v>46</v>
      </c>
      <c r="E29" s="3" t="s">
        <v>33</v>
      </c>
      <c r="F29" s="3">
        <v>60000</v>
      </c>
      <c r="G29" s="3" t="s">
        <v>127</v>
      </c>
      <c r="H29" s="3" t="s">
        <v>84</v>
      </c>
      <c r="I29" s="3" t="s">
        <v>40</v>
      </c>
      <c r="J29" s="3" t="s">
        <v>35</v>
      </c>
      <c r="K29" s="3" t="s">
        <v>40</v>
      </c>
      <c r="L29" s="3" t="s">
        <v>36</v>
      </c>
      <c r="M29" s="3" t="s">
        <v>36</v>
      </c>
      <c r="N29" s="3" t="s">
        <v>37</v>
      </c>
      <c r="O29" s="3" t="s">
        <v>36</v>
      </c>
      <c r="P29" s="3" t="s">
        <v>40</v>
      </c>
      <c r="Q29" s="3" t="s">
        <v>40</v>
      </c>
      <c r="R29" s="3" t="s">
        <v>40</v>
      </c>
      <c r="S29" s="3" t="s">
        <v>35</v>
      </c>
      <c r="T29" s="3" t="s">
        <v>43</v>
      </c>
      <c r="U29" s="3" t="s">
        <v>43</v>
      </c>
      <c r="V29" s="3" t="s">
        <v>43</v>
      </c>
      <c r="W29" s="3" t="s">
        <v>42</v>
      </c>
      <c r="X29" s="3" t="s">
        <v>43</v>
      </c>
      <c r="Y29" s="3" t="s">
        <v>42</v>
      </c>
      <c r="Z29" s="3" t="s">
        <v>42</v>
      </c>
      <c r="AA29" s="3" t="s">
        <v>43</v>
      </c>
      <c r="AB29" s="3" t="s">
        <v>42</v>
      </c>
      <c r="AC29" s="3" t="s">
        <v>42</v>
      </c>
      <c r="AD29" s="3" t="s">
        <v>43</v>
      </c>
      <c r="AE29" s="3">
        <f>IF(G51 = "Москва",1,0)</f>
        <v>0</v>
      </c>
      <c r="AF29">
        <f t="shared" si="3"/>
        <v>0</v>
      </c>
      <c r="AG29">
        <f>IF(U28="Да",1,0)</f>
        <v>0</v>
      </c>
      <c r="AH29">
        <f>IF(V28="Да",1,0)</f>
        <v>0</v>
      </c>
      <c r="AI29">
        <f>IF(W28="Да",1,0)</f>
        <v>1</v>
      </c>
      <c r="AJ29">
        <f>IF(X28="Да",1,0)</f>
        <v>0</v>
      </c>
      <c r="AK29">
        <f>IF(Y28="Да",1,0)</f>
        <v>1</v>
      </c>
      <c r="AL29">
        <f>IF(Z28="Да",1,0)</f>
        <v>0</v>
      </c>
      <c r="AM29">
        <f>IF(AA28="Да",1,0)</f>
        <v>0</v>
      </c>
      <c r="AN29">
        <f>IF(AB28="Да",1,0)</f>
        <v>1</v>
      </c>
      <c r="AO29">
        <f>IF(AC28="Да",1,0)</f>
        <v>0</v>
      </c>
      <c r="AP29">
        <f>IF(AD28="Да",1,0)</f>
        <v>1</v>
      </c>
      <c r="AR29" s="7">
        <f>IF($AE29=1,1.3*(IF(AF29=1,1.4*AX$1,AX$1)),(IF(AF29=1,1.4*AX$1,AX$1)))</f>
        <v>218.07692307692307</v>
      </c>
      <c r="AS29" s="7">
        <f>IF($AE29=1,1.3*(IF(AG29=1,1.4*AY$1,AY$1)),(IF(AG29=1,1.4*AY$1,AY$1)))</f>
        <v>192.30769230769232</v>
      </c>
      <c r="AT29" s="7">
        <f>IF($AE29=1,1.3*(IF(AH29=1,1.4*AZ$1,AZ$1)),(IF(AH29=1,1.4*AZ$1,AZ$1)))</f>
        <v>657.69230769230774</v>
      </c>
      <c r="AU29" s="7">
        <f>IF($AE29=1,1.3*(IF(AI29=1,1.4*BA$1,BA$1)),(IF(AI29=1,1.4*BA$1,BA$1)))</f>
        <v>323.07692307692304</v>
      </c>
      <c r="AV29" s="7">
        <f>IF($AE29=1,1.3*(IF(AJ29=1,1.4*BB$1,BB$1)),(IF(AJ29=1,1.4*BB$1,BB$1)))</f>
        <v>35.384615384615387</v>
      </c>
      <c r="AW29" s="7">
        <f>IF($AE29=1,1.3*(IF(AK29=1,1.4*BC$1,BC$1)),(IF(AK29=1,1.4*BC$1,BC$1)))</f>
        <v>936.92307692307691</v>
      </c>
      <c r="AX29" s="7">
        <f>IF($AE29=1,1.3*(IF(AL29=1,1.4*BD$1,BD$1)),(IF(AL29=1,1.4*BD$1,BD$1)))</f>
        <v>242.30769230769229</v>
      </c>
      <c r="AY29" s="7">
        <f>IF($AE29=1,1.3*(IF(AM29=1,1.4*BE$1,BE$1)),(IF(AM29=1,1.4*BE$1,BE$1)))</f>
        <v>557.69230769230762</v>
      </c>
      <c r="AZ29" s="7">
        <f>IF($AE29=1,1.3*(IF(AN29=1,1.4*BF$1,BF$1)),(IF(AN29=1,1.4*BF$1,BF$1)))</f>
        <v>67.84615384615384</v>
      </c>
      <c r="BA29" s="7">
        <f>IF($AE29=1,1.3*(IF(AO29=1,1.4*BG$1,BG$1)),(IF(AO29=1,1.4*BG$1,BG$1)))</f>
        <v>29.615384615384617</v>
      </c>
      <c r="BB29" s="7">
        <f>IF($AE29=1,1.3*(IF(AP29=1,1.4*BH$1,BH$1)),(IF(AP29=1,1.4*BH$1,BH$1)))</f>
        <v>168.26923076923077</v>
      </c>
      <c r="BC29" s="9">
        <f>SUM(AR29:BB29)</f>
        <v>3429.1923076923081</v>
      </c>
      <c r="BD29">
        <f>BC29*4.2</f>
        <v>14402.607692307694</v>
      </c>
      <c r="BE29">
        <f t="shared" si="2"/>
        <v>28805.215384615389</v>
      </c>
      <c r="BF29">
        <f>IF(AE29=1,$BK$1,$BL$1)</f>
        <v>9230</v>
      </c>
      <c r="BG29">
        <f>BF29-BD29</f>
        <v>-5172.6076923076944</v>
      </c>
      <c r="BH29">
        <f>(H29-BC29)*4.2</f>
        <v>48597.392307692309</v>
      </c>
    </row>
    <row r="30" spans="1:60" ht="144" x14ac:dyDescent="0.3">
      <c r="A30" s="3" t="s">
        <v>97</v>
      </c>
      <c r="B30" s="3" t="s">
        <v>45</v>
      </c>
      <c r="C30" s="3">
        <v>20</v>
      </c>
      <c r="D30" s="3" t="s">
        <v>46</v>
      </c>
      <c r="E30" s="3" t="s">
        <v>43</v>
      </c>
      <c r="F30" s="3">
        <v>12000</v>
      </c>
      <c r="G30" s="3" t="s">
        <v>127</v>
      </c>
      <c r="H30" s="3" t="s">
        <v>69</v>
      </c>
      <c r="I30" s="3" t="s">
        <v>39</v>
      </c>
      <c r="J30" s="3" t="s">
        <v>39</v>
      </c>
      <c r="K30" s="3" t="s">
        <v>40</v>
      </c>
      <c r="L30" s="3" t="s">
        <v>35</v>
      </c>
      <c r="M30" s="3" t="s">
        <v>41</v>
      </c>
      <c r="N30" s="3" t="s">
        <v>38</v>
      </c>
      <c r="O30" s="3" t="s">
        <v>41</v>
      </c>
      <c r="P30" s="3" t="s">
        <v>38</v>
      </c>
      <c r="Q30" s="3" t="s">
        <v>38</v>
      </c>
      <c r="R30" s="3" t="s">
        <v>39</v>
      </c>
      <c r="S30" s="3" t="s">
        <v>48</v>
      </c>
      <c r="T30" s="3" t="s">
        <v>43</v>
      </c>
      <c r="U30" s="3" t="s">
        <v>43</v>
      </c>
      <c r="V30" s="3" t="s">
        <v>42</v>
      </c>
      <c r="W30" s="3" t="s">
        <v>43</v>
      </c>
      <c r="X30" s="3" t="s">
        <v>43</v>
      </c>
      <c r="Y30" s="3" t="s">
        <v>42</v>
      </c>
      <c r="Z30" s="3" t="s">
        <v>43</v>
      </c>
      <c r="AA30" s="3" t="s">
        <v>42</v>
      </c>
      <c r="AB30" s="3" t="s">
        <v>42</v>
      </c>
      <c r="AC30" s="3" t="s">
        <v>43</v>
      </c>
      <c r="AD30" s="3" t="s">
        <v>43</v>
      </c>
      <c r="AE30" s="3">
        <f>IF(G52 = "Москва",1,0)</f>
        <v>0</v>
      </c>
      <c r="AF30">
        <f t="shared" si="3"/>
        <v>0</v>
      </c>
      <c r="AG30">
        <f>IF(U29="Да",1,0)</f>
        <v>0</v>
      </c>
      <c r="AH30">
        <f>IF(V29="Да",1,0)</f>
        <v>0</v>
      </c>
      <c r="AI30">
        <f>IF(W29="Да",1,0)</f>
        <v>1</v>
      </c>
      <c r="AJ30">
        <f>IF(X29="Да",1,0)</f>
        <v>0</v>
      </c>
      <c r="AK30">
        <f>IF(Y29="Да",1,0)</f>
        <v>1</v>
      </c>
      <c r="AL30">
        <f>IF(Z29="Да",1,0)</f>
        <v>1</v>
      </c>
      <c r="AM30">
        <f>IF(AA29="Да",1,0)</f>
        <v>0</v>
      </c>
      <c r="AN30">
        <f>IF(AB29="Да",1,0)</f>
        <v>1</v>
      </c>
      <c r="AO30">
        <f>IF(AC29="Да",1,0)</f>
        <v>1</v>
      </c>
      <c r="AP30">
        <f>IF(AD29="Да",1,0)</f>
        <v>0</v>
      </c>
      <c r="AR30" s="7">
        <f>IF($AE30=1,1.3*(IF(AF30=1,1.4*AX$1,AX$1)),(IF(AF30=1,1.4*AX$1,AX$1)))</f>
        <v>218.07692307692307</v>
      </c>
      <c r="AS30" s="7">
        <f>IF($AE30=1,1.3*(IF(AG30=1,1.4*AY$1,AY$1)),(IF(AG30=1,1.4*AY$1,AY$1)))</f>
        <v>192.30769230769232</v>
      </c>
      <c r="AT30" s="7">
        <f>IF($AE30=1,1.3*(IF(AH30=1,1.4*AZ$1,AZ$1)),(IF(AH30=1,1.4*AZ$1,AZ$1)))</f>
        <v>657.69230769230774</v>
      </c>
      <c r="AU30" s="7">
        <f>IF($AE30=1,1.3*(IF(AI30=1,1.4*BA$1,BA$1)),(IF(AI30=1,1.4*BA$1,BA$1)))</f>
        <v>323.07692307692304</v>
      </c>
      <c r="AV30" s="7">
        <f>IF($AE30=1,1.3*(IF(AJ30=1,1.4*BB$1,BB$1)),(IF(AJ30=1,1.4*BB$1,BB$1)))</f>
        <v>35.384615384615387</v>
      </c>
      <c r="AW30" s="7">
        <f>IF($AE30=1,1.3*(IF(AK30=1,1.4*BC$1,BC$1)),(IF(AK30=1,1.4*BC$1,BC$1)))</f>
        <v>936.92307692307691</v>
      </c>
      <c r="AX30" s="7">
        <f>IF($AE30=1,1.3*(IF(AL30=1,1.4*BD$1,BD$1)),(IF(AL30=1,1.4*BD$1,BD$1)))</f>
        <v>339.23076923076917</v>
      </c>
      <c r="AY30" s="7">
        <f>IF($AE30=1,1.3*(IF(AM30=1,1.4*BE$1,BE$1)),(IF(AM30=1,1.4*BE$1,BE$1)))</f>
        <v>557.69230769230762</v>
      </c>
      <c r="AZ30" s="7">
        <f>IF($AE30=1,1.3*(IF(AN30=1,1.4*BF$1,BF$1)),(IF(AN30=1,1.4*BF$1,BF$1)))</f>
        <v>67.84615384615384</v>
      </c>
      <c r="BA30" s="7">
        <f>IF($AE30=1,1.3*(IF(AO30=1,1.4*BG$1,BG$1)),(IF(AO30=1,1.4*BG$1,BG$1)))</f>
        <v>41.46153846153846</v>
      </c>
      <c r="BB30" s="7">
        <f>IF($AE30=1,1.3*(IF(AP30=1,1.4*BH$1,BH$1)),(IF(AP30=1,1.4*BH$1,BH$1)))</f>
        <v>120.19230769230769</v>
      </c>
      <c r="BC30" s="9">
        <f>SUM(AR30:BB30)</f>
        <v>3489.8846153846152</v>
      </c>
      <c r="BD30">
        <f>BC30*4.2</f>
        <v>14657.515384615384</v>
      </c>
      <c r="BE30">
        <f t="shared" si="2"/>
        <v>29315.030769230769</v>
      </c>
      <c r="BF30">
        <f>IF(AE30=1,$BK$1,$BL$1)</f>
        <v>9230</v>
      </c>
      <c r="BG30">
        <f>BF30-BD30</f>
        <v>-5427.5153846153844</v>
      </c>
      <c r="BH30">
        <f>(H30-BC30)*4.2</f>
        <v>69342.484615384616</v>
      </c>
    </row>
    <row r="31" spans="1:60" ht="129.6" x14ac:dyDescent="0.3">
      <c r="A31" s="3" t="s">
        <v>98</v>
      </c>
      <c r="B31" s="3" t="s">
        <v>45</v>
      </c>
      <c r="C31" s="3">
        <v>20</v>
      </c>
      <c r="D31" s="3" t="s">
        <v>67</v>
      </c>
      <c r="E31" s="3" t="s">
        <v>43</v>
      </c>
      <c r="F31" s="3">
        <v>12000</v>
      </c>
      <c r="G31" s="3" t="s">
        <v>71</v>
      </c>
      <c r="H31" s="3" t="s">
        <v>69</v>
      </c>
      <c r="I31" s="3" t="s">
        <v>48</v>
      </c>
      <c r="J31" s="3" t="s">
        <v>40</v>
      </c>
      <c r="K31" s="3" t="s">
        <v>40</v>
      </c>
      <c r="L31" s="3" t="s">
        <v>37</v>
      </c>
      <c r="M31" s="3" t="s">
        <v>41</v>
      </c>
      <c r="N31" s="3" t="s">
        <v>38</v>
      </c>
      <c r="O31" s="3" t="s">
        <v>49</v>
      </c>
      <c r="P31" s="3" t="s">
        <v>59</v>
      </c>
      <c r="Q31" s="3" t="s">
        <v>38</v>
      </c>
      <c r="R31" s="3" t="s">
        <v>39</v>
      </c>
      <c r="S31" s="3" t="s">
        <v>41</v>
      </c>
      <c r="T31" s="3" t="s">
        <v>43</v>
      </c>
      <c r="U31" s="3" t="s">
        <v>42</v>
      </c>
      <c r="V31" s="3" t="s">
        <v>43</v>
      </c>
      <c r="W31" s="3" t="s">
        <v>42</v>
      </c>
      <c r="X31" s="3" t="s">
        <v>43</v>
      </c>
      <c r="Y31" s="3" t="s">
        <v>42</v>
      </c>
      <c r="Z31" s="3" t="s">
        <v>43</v>
      </c>
      <c r="AA31" s="3" t="s">
        <v>42</v>
      </c>
      <c r="AB31" s="3" t="s">
        <v>42</v>
      </c>
      <c r="AC31" s="3" t="s">
        <v>42</v>
      </c>
      <c r="AD31" s="3" t="s">
        <v>43</v>
      </c>
      <c r="AE31" s="3">
        <f>IF(G53 = "Москва",1,0)</f>
        <v>0</v>
      </c>
      <c r="AF31">
        <f t="shared" si="3"/>
        <v>0</v>
      </c>
      <c r="AG31">
        <f>IF(U30="Да",1,0)</f>
        <v>0</v>
      </c>
      <c r="AH31">
        <f>IF(V30="Да",1,0)</f>
        <v>1</v>
      </c>
      <c r="AI31">
        <f>IF(W30="Да",1,0)</f>
        <v>0</v>
      </c>
      <c r="AJ31">
        <f>IF(X30="Да",1,0)</f>
        <v>0</v>
      </c>
      <c r="AK31">
        <f>IF(Y30="Да",1,0)</f>
        <v>1</v>
      </c>
      <c r="AL31">
        <f>IF(Z30="Да",1,0)</f>
        <v>0</v>
      </c>
      <c r="AM31">
        <f>IF(AA30="Да",1,0)</f>
        <v>1</v>
      </c>
      <c r="AN31">
        <f>IF(AB30="Да",1,0)</f>
        <v>1</v>
      </c>
      <c r="AO31">
        <f>IF(AC30="Да",1,0)</f>
        <v>0</v>
      </c>
      <c r="AP31">
        <f>IF(AD30="Да",1,0)</f>
        <v>0</v>
      </c>
      <c r="AR31" s="7">
        <f>IF($AE31=1,1.3*(IF(AF31=1,1.4*AX$1,AX$1)),(IF(AF31=1,1.4*AX$1,AX$1)))</f>
        <v>218.07692307692307</v>
      </c>
      <c r="AS31" s="7">
        <f>IF($AE31=1,1.3*(IF(AG31=1,1.4*AY$1,AY$1)),(IF(AG31=1,1.4*AY$1,AY$1)))</f>
        <v>192.30769230769232</v>
      </c>
      <c r="AT31" s="7">
        <f>IF($AE31=1,1.3*(IF(AH31=1,1.4*AZ$1,AZ$1)),(IF(AH31=1,1.4*AZ$1,AZ$1)))</f>
        <v>920.76923076923072</v>
      </c>
      <c r="AU31" s="7">
        <f>IF($AE31=1,1.3*(IF(AI31=1,1.4*BA$1,BA$1)),(IF(AI31=1,1.4*BA$1,BA$1)))</f>
        <v>230.76923076923075</v>
      </c>
      <c r="AV31" s="7">
        <f>IF($AE31=1,1.3*(IF(AJ31=1,1.4*BB$1,BB$1)),(IF(AJ31=1,1.4*BB$1,BB$1)))</f>
        <v>35.384615384615387</v>
      </c>
      <c r="AW31" s="7">
        <f>IF($AE31=1,1.3*(IF(AK31=1,1.4*BC$1,BC$1)),(IF(AK31=1,1.4*BC$1,BC$1)))</f>
        <v>936.92307692307691</v>
      </c>
      <c r="AX31" s="7">
        <f>IF($AE31=1,1.3*(IF(AL31=1,1.4*BD$1,BD$1)),(IF(AL31=1,1.4*BD$1,BD$1)))</f>
        <v>242.30769230769229</v>
      </c>
      <c r="AY31" s="7">
        <f>IF($AE31=1,1.3*(IF(AM31=1,1.4*BE$1,BE$1)),(IF(AM31=1,1.4*BE$1,BE$1)))</f>
        <v>780.7692307692306</v>
      </c>
      <c r="AZ31" s="7">
        <f>IF($AE31=1,1.3*(IF(AN31=1,1.4*BF$1,BF$1)),(IF(AN31=1,1.4*BF$1,BF$1)))</f>
        <v>67.84615384615384</v>
      </c>
      <c r="BA31" s="7">
        <f>IF($AE31=1,1.3*(IF(AO31=1,1.4*BG$1,BG$1)),(IF(AO31=1,1.4*BG$1,BG$1)))</f>
        <v>29.615384615384617</v>
      </c>
      <c r="BB31" s="7">
        <f>IF($AE31=1,1.3*(IF(AP31=1,1.4*BH$1,BH$1)),(IF(AP31=1,1.4*BH$1,BH$1)))</f>
        <v>120.19230769230769</v>
      </c>
      <c r="BC31" s="9">
        <f>SUM(AR31:BB31)</f>
        <v>3774.9615384615386</v>
      </c>
      <c r="BD31">
        <f>BC31*4.2</f>
        <v>15854.838461538462</v>
      </c>
      <c r="BE31">
        <f t="shared" si="2"/>
        <v>31709.676923076924</v>
      </c>
      <c r="BF31">
        <f>IF(AE31=1,$BK$1,$BL$1)</f>
        <v>9230</v>
      </c>
      <c r="BG31">
        <f>BF31-BD31</f>
        <v>-6624.8384615384621</v>
      </c>
      <c r="BH31">
        <f>(H31-BC31)*4.2</f>
        <v>68145.161538461543</v>
      </c>
    </row>
    <row r="32" spans="1:60" ht="144" x14ac:dyDescent="0.3">
      <c r="A32" s="3" t="s">
        <v>99</v>
      </c>
      <c r="B32" s="3" t="s">
        <v>45</v>
      </c>
      <c r="C32" s="3">
        <v>20</v>
      </c>
      <c r="D32" s="3" t="s">
        <v>46</v>
      </c>
      <c r="E32" s="3" t="s">
        <v>57</v>
      </c>
      <c r="F32" s="3">
        <v>60000</v>
      </c>
      <c r="G32" s="3" t="s">
        <v>127</v>
      </c>
      <c r="H32" s="3" t="s">
        <v>100</v>
      </c>
      <c r="I32" s="3" t="s">
        <v>49</v>
      </c>
      <c r="J32" s="3" t="s">
        <v>48</v>
      </c>
      <c r="K32" s="3" t="s">
        <v>49</v>
      </c>
      <c r="L32" s="3" t="s">
        <v>40</v>
      </c>
      <c r="M32" s="3" t="s">
        <v>41</v>
      </c>
      <c r="N32" s="3" t="s">
        <v>39</v>
      </c>
      <c r="O32" s="3" t="s">
        <v>39</v>
      </c>
      <c r="P32" s="3" t="s">
        <v>38</v>
      </c>
      <c r="Q32" s="3" t="s">
        <v>36</v>
      </c>
      <c r="R32" s="3" t="s">
        <v>48</v>
      </c>
      <c r="S32" s="3" t="s">
        <v>48</v>
      </c>
      <c r="T32" s="3" t="s">
        <v>43</v>
      </c>
      <c r="U32" s="3" t="s">
        <v>43</v>
      </c>
      <c r="V32" s="3" t="s">
        <v>43</v>
      </c>
      <c r="W32" s="3" t="s">
        <v>42</v>
      </c>
      <c r="X32" s="3" t="s">
        <v>43</v>
      </c>
      <c r="Y32" s="3" t="s">
        <v>43</v>
      </c>
      <c r="Z32" s="3" t="s">
        <v>43</v>
      </c>
      <c r="AA32" s="3" t="s">
        <v>42</v>
      </c>
      <c r="AB32" s="3" t="s">
        <v>42</v>
      </c>
      <c r="AC32" s="3" t="s">
        <v>43</v>
      </c>
      <c r="AD32" s="3" t="s">
        <v>43</v>
      </c>
      <c r="AE32" s="3">
        <f>IF(G54 = "Москва",1,0)</f>
        <v>0</v>
      </c>
      <c r="AF32">
        <f t="shared" si="3"/>
        <v>0</v>
      </c>
      <c r="AG32">
        <f>IF(U31="Да",1,0)</f>
        <v>1</v>
      </c>
      <c r="AH32">
        <f>IF(V31="Да",1,0)</f>
        <v>0</v>
      </c>
      <c r="AI32">
        <f>IF(W31="Да",1,0)</f>
        <v>1</v>
      </c>
      <c r="AJ32">
        <f>IF(X31="Да",1,0)</f>
        <v>0</v>
      </c>
      <c r="AK32">
        <f>IF(Y31="Да",1,0)</f>
        <v>1</v>
      </c>
      <c r="AL32">
        <f>IF(Z31="Да",1,0)</f>
        <v>0</v>
      </c>
      <c r="AM32">
        <f>IF(AA31="Да",1,0)</f>
        <v>1</v>
      </c>
      <c r="AN32">
        <f>IF(AB31="Да",1,0)</f>
        <v>1</v>
      </c>
      <c r="AO32">
        <f>IF(AC31="Да",1,0)</f>
        <v>1</v>
      </c>
      <c r="AP32">
        <f>IF(AD31="Да",1,0)</f>
        <v>0</v>
      </c>
      <c r="AR32" s="7">
        <f>IF($AE32=1,1.3*(IF(AF32=1,1.4*AX$1,AX$1)),(IF(AF32=1,1.4*AX$1,AX$1)))</f>
        <v>218.07692307692307</v>
      </c>
      <c r="AS32" s="7">
        <f>IF($AE32=1,1.3*(IF(AG32=1,1.4*AY$1,AY$1)),(IF(AG32=1,1.4*AY$1,AY$1)))</f>
        <v>269.23076923076923</v>
      </c>
      <c r="AT32" s="7">
        <f>IF($AE32=1,1.3*(IF(AH32=1,1.4*AZ$1,AZ$1)),(IF(AH32=1,1.4*AZ$1,AZ$1)))</f>
        <v>657.69230769230774</v>
      </c>
      <c r="AU32" s="7">
        <f>IF($AE32=1,1.3*(IF(AI32=1,1.4*BA$1,BA$1)),(IF(AI32=1,1.4*BA$1,BA$1)))</f>
        <v>323.07692307692304</v>
      </c>
      <c r="AV32" s="7">
        <f>IF($AE32=1,1.3*(IF(AJ32=1,1.4*BB$1,BB$1)),(IF(AJ32=1,1.4*BB$1,BB$1)))</f>
        <v>35.384615384615387</v>
      </c>
      <c r="AW32" s="7">
        <f>IF($AE32=1,1.3*(IF(AK32=1,1.4*BC$1,BC$1)),(IF(AK32=1,1.4*BC$1,BC$1)))</f>
        <v>936.92307692307691</v>
      </c>
      <c r="AX32" s="7">
        <f>IF($AE32=1,1.3*(IF(AL32=1,1.4*BD$1,BD$1)),(IF(AL32=1,1.4*BD$1,BD$1)))</f>
        <v>242.30769230769229</v>
      </c>
      <c r="AY32" s="7">
        <f>IF($AE32=1,1.3*(IF(AM32=1,1.4*BE$1,BE$1)),(IF(AM32=1,1.4*BE$1,BE$1)))</f>
        <v>780.7692307692306</v>
      </c>
      <c r="AZ32" s="7">
        <f>IF($AE32=1,1.3*(IF(AN32=1,1.4*BF$1,BF$1)),(IF(AN32=1,1.4*BF$1,BF$1)))</f>
        <v>67.84615384615384</v>
      </c>
      <c r="BA32" s="7">
        <f>IF($AE32=1,1.3*(IF(AO32=1,1.4*BG$1,BG$1)),(IF(AO32=1,1.4*BG$1,BG$1)))</f>
        <v>41.46153846153846</v>
      </c>
      <c r="BB32" s="7">
        <f>IF($AE32=1,1.3*(IF(AP32=1,1.4*BH$1,BH$1)),(IF(AP32=1,1.4*BH$1,BH$1)))</f>
        <v>120.19230769230769</v>
      </c>
      <c r="BC32" s="9">
        <f>SUM(AR32:BB32)</f>
        <v>3692.9615384615381</v>
      </c>
      <c r="BD32">
        <f>BC32*4.2</f>
        <v>15510.438461538461</v>
      </c>
      <c r="BE32">
        <f t="shared" si="2"/>
        <v>31020.876923076921</v>
      </c>
      <c r="BF32">
        <f>IF(AE32=1,$BK$1,$BL$1)</f>
        <v>9230</v>
      </c>
      <c r="BG32">
        <f>BF32-BD32</f>
        <v>-6280.4384615384606</v>
      </c>
      <c r="BH32">
        <f>(H32-BC32)*4.2</f>
        <v>-11310.438461538461</v>
      </c>
    </row>
    <row r="33" spans="1:60" ht="144" x14ac:dyDescent="0.3">
      <c r="A33" s="3" t="s">
        <v>101</v>
      </c>
      <c r="B33" s="3" t="s">
        <v>45</v>
      </c>
      <c r="C33" s="3">
        <v>20</v>
      </c>
      <c r="D33" s="3" t="s">
        <v>46</v>
      </c>
      <c r="E33" s="3" t="s">
        <v>43</v>
      </c>
      <c r="F33" s="3">
        <v>12000</v>
      </c>
      <c r="G33" s="3" t="s">
        <v>102</v>
      </c>
      <c r="H33" s="3" t="s">
        <v>103</v>
      </c>
      <c r="I33" s="3" t="s">
        <v>40</v>
      </c>
      <c r="J33" s="3" t="s">
        <v>40</v>
      </c>
      <c r="K33" s="3" t="s">
        <v>37</v>
      </c>
      <c r="L33" s="3" t="s">
        <v>35</v>
      </c>
      <c r="M33" s="3" t="s">
        <v>49</v>
      </c>
      <c r="N33" s="3" t="s">
        <v>40</v>
      </c>
      <c r="O33" s="3" t="s">
        <v>49</v>
      </c>
      <c r="P33" s="3" t="s">
        <v>40</v>
      </c>
      <c r="Q33" s="3" t="s">
        <v>40</v>
      </c>
      <c r="R33" s="3" t="s">
        <v>38</v>
      </c>
      <c r="S33" s="3" t="s">
        <v>40</v>
      </c>
      <c r="T33" s="3" t="s">
        <v>42</v>
      </c>
      <c r="U33" s="3" t="s">
        <v>43</v>
      </c>
      <c r="V33" s="3" t="s">
        <v>43</v>
      </c>
      <c r="W33" s="3" t="s">
        <v>43</v>
      </c>
      <c r="X33" s="3" t="s">
        <v>42</v>
      </c>
      <c r="Y33" s="3" t="s">
        <v>42</v>
      </c>
      <c r="Z33" s="3" t="s">
        <v>43</v>
      </c>
      <c r="AA33" s="3" t="s">
        <v>43</v>
      </c>
      <c r="AB33" s="3" t="s">
        <v>42</v>
      </c>
      <c r="AC33" s="3" t="s">
        <v>42</v>
      </c>
      <c r="AD33" s="3" t="s">
        <v>42</v>
      </c>
      <c r="AE33" s="3">
        <f>IF(G55 = "Москва",1,0)</f>
        <v>0</v>
      </c>
      <c r="AF33">
        <f t="shared" si="3"/>
        <v>1</v>
      </c>
      <c r="AG33">
        <f>IF(U32="Да",1,0)</f>
        <v>0</v>
      </c>
      <c r="AH33">
        <f>IF(V32="Да",1,0)</f>
        <v>0</v>
      </c>
      <c r="AI33">
        <f>IF(W32="Да",1,0)</f>
        <v>1</v>
      </c>
      <c r="AJ33">
        <f>IF(X32="Да",1,0)</f>
        <v>0</v>
      </c>
      <c r="AK33">
        <f>IF(Y32="Да",1,0)</f>
        <v>0</v>
      </c>
      <c r="AL33">
        <f>IF(Z32="Да",1,0)</f>
        <v>0</v>
      </c>
      <c r="AM33">
        <f>IF(AA32="Да",1,0)</f>
        <v>1</v>
      </c>
      <c r="AN33">
        <f>IF(AB32="Да",1,0)</f>
        <v>1</v>
      </c>
      <c r="AO33">
        <f>IF(AC32="Да",1,0)</f>
        <v>0</v>
      </c>
      <c r="AP33">
        <f>IF(AD32="Да",1,0)</f>
        <v>0</v>
      </c>
      <c r="AR33" s="7">
        <f>IF($AE33=1,1.3*(IF(AF33=1,1.4*AX$1,AX$1)),(IF(AF33=1,1.4*AX$1,AX$1)))</f>
        <v>305.30769230769226</v>
      </c>
      <c r="AS33" s="7">
        <f>IF($AE33=1,1.3*(IF(AG33=1,1.4*AY$1,AY$1)),(IF(AG33=1,1.4*AY$1,AY$1)))</f>
        <v>192.30769230769232</v>
      </c>
      <c r="AT33" s="7">
        <f>IF($AE33=1,1.3*(IF(AH33=1,1.4*AZ$1,AZ$1)),(IF(AH33=1,1.4*AZ$1,AZ$1)))</f>
        <v>657.69230769230774</v>
      </c>
      <c r="AU33" s="7">
        <f>IF($AE33=1,1.3*(IF(AI33=1,1.4*BA$1,BA$1)),(IF(AI33=1,1.4*BA$1,BA$1)))</f>
        <v>323.07692307692304</v>
      </c>
      <c r="AV33" s="7">
        <f>IF($AE33=1,1.3*(IF(AJ33=1,1.4*BB$1,BB$1)),(IF(AJ33=1,1.4*BB$1,BB$1)))</f>
        <v>35.384615384615387</v>
      </c>
      <c r="AW33" s="7">
        <f>IF($AE33=1,1.3*(IF(AK33=1,1.4*BC$1,BC$1)),(IF(AK33=1,1.4*BC$1,BC$1)))</f>
        <v>669.23076923076928</v>
      </c>
      <c r="AX33" s="7">
        <f>IF($AE33=1,1.3*(IF(AL33=1,1.4*BD$1,BD$1)),(IF(AL33=1,1.4*BD$1,BD$1)))</f>
        <v>242.30769230769229</v>
      </c>
      <c r="AY33" s="7">
        <f>IF($AE33=1,1.3*(IF(AM33=1,1.4*BE$1,BE$1)),(IF(AM33=1,1.4*BE$1,BE$1)))</f>
        <v>780.7692307692306</v>
      </c>
      <c r="AZ33" s="7">
        <f>IF($AE33=1,1.3*(IF(AN33=1,1.4*BF$1,BF$1)),(IF(AN33=1,1.4*BF$1,BF$1)))</f>
        <v>67.84615384615384</v>
      </c>
      <c r="BA33" s="7">
        <f>IF($AE33=1,1.3*(IF(AO33=1,1.4*BG$1,BG$1)),(IF(AO33=1,1.4*BG$1,BG$1)))</f>
        <v>29.615384615384617</v>
      </c>
      <c r="BB33" s="7">
        <f>IF($AE33=1,1.3*(IF(AP33=1,1.4*BH$1,BH$1)),(IF(AP33=1,1.4*BH$1,BH$1)))</f>
        <v>120.19230769230769</v>
      </c>
      <c r="BC33" s="9">
        <f>SUM(AR33:BB33)</f>
        <v>3423.7307692307691</v>
      </c>
      <c r="BD33">
        <f>BC33*4.2</f>
        <v>14379.66923076923</v>
      </c>
      <c r="BE33">
        <f t="shared" si="2"/>
        <v>28759.33846153846</v>
      </c>
      <c r="BF33">
        <f>IF(AE33=1,$BK$1,$BL$1)</f>
        <v>9230</v>
      </c>
      <c r="BG33">
        <f>BF33-BD33</f>
        <v>-5149.6692307692301</v>
      </c>
      <c r="BH33">
        <f>(H33-BC33)*4.2</f>
        <v>-2716.26923076923</v>
      </c>
    </row>
    <row r="34" spans="1:60" ht="115.2" x14ac:dyDescent="0.3">
      <c r="A34" s="3" t="s">
        <v>104</v>
      </c>
      <c r="B34" s="3" t="s">
        <v>31</v>
      </c>
      <c r="C34" s="3">
        <v>35</v>
      </c>
      <c r="D34" s="3" t="s">
        <v>32</v>
      </c>
      <c r="E34" s="3" t="s">
        <v>33</v>
      </c>
      <c r="F34" s="3">
        <v>60000</v>
      </c>
      <c r="G34" s="3" t="s">
        <v>105</v>
      </c>
      <c r="H34" s="3" t="s">
        <v>69</v>
      </c>
      <c r="I34" s="3" t="s">
        <v>48</v>
      </c>
      <c r="J34" s="3" t="s">
        <v>48</v>
      </c>
      <c r="K34" s="3" t="s">
        <v>38</v>
      </c>
      <c r="L34" s="3" t="s">
        <v>38</v>
      </c>
      <c r="M34" s="3" t="s">
        <v>48</v>
      </c>
      <c r="N34" s="3" t="s">
        <v>38</v>
      </c>
      <c r="O34" s="3" t="s">
        <v>38</v>
      </c>
      <c r="P34" s="3" t="s">
        <v>35</v>
      </c>
      <c r="Q34" s="3" t="s">
        <v>38</v>
      </c>
      <c r="R34" s="3" t="s">
        <v>35</v>
      </c>
      <c r="S34" s="3" t="s">
        <v>38</v>
      </c>
      <c r="T34" s="3" t="s">
        <v>43</v>
      </c>
      <c r="U34" s="3" t="s">
        <v>43</v>
      </c>
      <c r="V34" s="3" t="s">
        <v>42</v>
      </c>
      <c r="W34" s="3" t="s">
        <v>42</v>
      </c>
      <c r="X34" s="3" t="s">
        <v>43</v>
      </c>
      <c r="Y34" s="3" t="s">
        <v>42</v>
      </c>
      <c r="Z34" s="3" t="s">
        <v>43</v>
      </c>
      <c r="AA34" s="3" t="s">
        <v>43</v>
      </c>
      <c r="AB34" s="3" t="s">
        <v>42</v>
      </c>
      <c r="AC34" s="3" t="s">
        <v>43</v>
      </c>
      <c r="AD34" s="3" t="s">
        <v>43</v>
      </c>
      <c r="AE34" s="3">
        <f>IF(G56 = "Москва",1,0)</f>
        <v>0</v>
      </c>
      <c r="AF34">
        <f t="shared" si="3"/>
        <v>0</v>
      </c>
      <c r="AG34">
        <f>IF(U33="Да",1,0)</f>
        <v>0</v>
      </c>
      <c r="AH34">
        <f>IF(V33="Да",1,0)</f>
        <v>0</v>
      </c>
      <c r="AI34">
        <f>IF(W33="Да",1,0)</f>
        <v>0</v>
      </c>
      <c r="AJ34">
        <f>IF(X33="Да",1,0)</f>
        <v>1</v>
      </c>
      <c r="AK34">
        <f>IF(Y33="Да",1,0)</f>
        <v>1</v>
      </c>
      <c r="AL34">
        <f>IF(Z33="Да",1,0)</f>
        <v>0</v>
      </c>
      <c r="AM34">
        <f>IF(AA33="Да",1,0)</f>
        <v>0</v>
      </c>
      <c r="AN34">
        <f>IF(AB33="Да",1,0)</f>
        <v>1</v>
      </c>
      <c r="AO34">
        <f>IF(AC33="Да",1,0)</f>
        <v>1</v>
      </c>
      <c r="AP34">
        <f>IF(AD33="Да",1,0)</f>
        <v>1</v>
      </c>
      <c r="AR34" s="7">
        <f>IF($AE34=1,1.3*(IF(AF34=1,1.4*AX$1,AX$1)),(IF(AF34=1,1.4*AX$1,AX$1)))</f>
        <v>218.07692307692307</v>
      </c>
      <c r="AS34" s="7">
        <f>IF($AE34=1,1.3*(IF(AG34=1,1.4*AY$1,AY$1)),(IF(AG34=1,1.4*AY$1,AY$1)))</f>
        <v>192.30769230769232</v>
      </c>
      <c r="AT34" s="7">
        <f>IF($AE34=1,1.3*(IF(AH34=1,1.4*AZ$1,AZ$1)),(IF(AH34=1,1.4*AZ$1,AZ$1)))</f>
        <v>657.69230769230774</v>
      </c>
      <c r="AU34" s="7">
        <f>IF($AE34=1,1.3*(IF(AI34=1,1.4*BA$1,BA$1)),(IF(AI34=1,1.4*BA$1,BA$1)))</f>
        <v>230.76923076923075</v>
      </c>
      <c r="AV34" s="7">
        <f>IF($AE34=1,1.3*(IF(AJ34=1,1.4*BB$1,BB$1)),(IF(AJ34=1,1.4*BB$1,BB$1)))</f>
        <v>49.53846153846154</v>
      </c>
      <c r="AW34" s="7">
        <f>IF($AE34=1,1.3*(IF(AK34=1,1.4*BC$1,BC$1)),(IF(AK34=1,1.4*BC$1,BC$1)))</f>
        <v>936.92307692307691</v>
      </c>
      <c r="AX34" s="7">
        <f>IF($AE34=1,1.3*(IF(AL34=1,1.4*BD$1,BD$1)),(IF(AL34=1,1.4*BD$1,BD$1)))</f>
        <v>242.30769230769229</v>
      </c>
      <c r="AY34" s="7">
        <f>IF($AE34=1,1.3*(IF(AM34=1,1.4*BE$1,BE$1)),(IF(AM34=1,1.4*BE$1,BE$1)))</f>
        <v>557.69230769230762</v>
      </c>
      <c r="AZ34" s="7">
        <f>IF($AE34=1,1.3*(IF(AN34=1,1.4*BF$1,BF$1)),(IF(AN34=1,1.4*BF$1,BF$1)))</f>
        <v>67.84615384615384</v>
      </c>
      <c r="BA34" s="7">
        <f>IF($AE34=1,1.3*(IF(AO34=1,1.4*BG$1,BG$1)),(IF(AO34=1,1.4*BG$1,BG$1)))</f>
        <v>41.46153846153846</v>
      </c>
      <c r="BB34" s="7">
        <f>IF($AE34=1,1.3*(IF(AP34=1,1.4*BH$1,BH$1)),(IF(AP34=1,1.4*BH$1,BH$1)))</f>
        <v>168.26923076923077</v>
      </c>
      <c r="BC34" s="9">
        <f>SUM(AR34:BB34)</f>
        <v>3362.8846153846157</v>
      </c>
      <c r="BD34">
        <f>BC34*4.2</f>
        <v>14124.115384615387</v>
      </c>
      <c r="BE34">
        <f t="shared" si="2"/>
        <v>28248.230769230773</v>
      </c>
      <c r="BF34">
        <f>IF(AE34=1,$BK$1,$BL$1)</f>
        <v>9230</v>
      </c>
      <c r="BG34">
        <f>BF34-BD34</f>
        <v>-4894.1153846153866</v>
      </c>
      <c r="BH34">
        <f>(H34-BC34)*4.2</f>
        <v>69875.88461538461</v>
      </c>
    </row>
    <row r="35" spans="1:60" ht="144" x14ac:dyDescent="0.3">
      <c r="A35" s="3" t="s">
        <v>107</v>
      </c>
      <c r="B35" s="3" t="s">
        <v>31</v>
      </c>
      <c r="C35" s="3">
        <v>20</v>
      </c>
      <c r="D35" s="3" t="s">
        <v>46</v>
      </c>
      <c r="E35" s="3" t="s">
        <v>33</v>
      </c>
      <c r="F35" s="3">
        <v>30000</v>
      </c>
      <c r="G35" s="3" t="s">
        <v>76</v>
      </c>
      <c r="H35" s="3" t="s">
        <v>55</v>
      </c>
      <c r="I35" s="3" t="s">
        <v>49</v>
      </c>
      <c r="J35" s="3" t="s">
        <v>41</v>
      </c>
      <c r="K35" s="3" t="s">
        <v>38</v>
      </c>
      <c r="L35" s="3" t="s">
        <v>37</v>
      </c>
      <c r="M35" s="3" t="s">
        <v>41</v>
      </c>
      <c r="N35" s="3" t="s">
        <v>38</v>
      </c>
      <c r="O35" s="3" t="s">
        <v>38</v>
      </c>
      <c r="P35" s="3" t="s">
        <v>35</v>
      </c>
      <c r="Q35" s="3" t="s">
        <v>35</v>
      </c>
      <c r="R35" s="3" t="s">
        <v>59</v>
      </c>
      <c r="S35" s="3" t="s">
        <v>59</v>
      </c>
      <c r="T35" s="3" t="s">
        <v>43</v>
      </c>
      <c r="U35" s="3" t="s">
        <v>43</v>
      </c>
      <c r="V35" s="3" t="s">
        <v>42</v>
      </c>
      <c r="W35" s="3" t="s">
        <v>42</v>
      </c>
      <c r="X35" s="3" t="s">
        <v>43</v>
      </c>
      <c r="Y35" s="3" t="s">
        <v>42</v>
      </c>
      <c r="Z35" s="3" t="s">
        <v>42</v>
      </c>
      <c r="AA35" s="3" t="s">
        <v>43</v>
      </c>
      <c r="AB35" s="3" t="s">
        <v>42</v>
      </c>
      <c r="AC35" s="3" t="s">
        <v>42</v>
      </c>
      <c r="AD35" s="3" t="s">
        <v>42</v>
      </c>
      <c r="AE35" s="3">
        <f>IF(G57 = "Москва",1,0)</f>
        <v>0</v>
      </c>
      <c r="AF35">
        <f t="shared" si="3"/>
        <v>0</v>
      </c>
      <c r="AG35">
        <f>IF(U34="Да",1,0)</f>
        <v>0</v>
      </c>
      <c r="AH35">
        <f>IF(V34="Да",1,0)</f>
        <v>1</v>
      </c>
      <c r="AI35">
        <f>IF(W34="Да",1,0)</f>
        <v>1</v>
      </c>
      <c r="AJ35">
        <f>IF(X34="Да",1,0)</f>
        <v>0</v>
      </c>
      <c r="AK35">
        <f>IF(Y34="Да",1,0)</f>
        <v>1</v>
      </c>
      <c r="AL35">
        <f>IF(Z34="Да",1,0)</f>
        <v>0</v>
      </c>
      <c r="AM35">
        <f>IF(AA34="Да",1,0)</f>
        <v>0</v>
      </c>
      <c r="AN35">
        <f>IF(AB34="Да",1,0)</f>
        <v>1</v>
      </c>
      <c r="AO35">
        <f>IF(AC34="Да",1,0)</f>
        <v>0</v>
      </c>
      <c r="AP35">
        <f>IF(AD34="Да",1,0)</f>
        <v>0</v>
      </c>
      <c r="AR35" s="7">
        <f>IF($AE35=1,1.3*(IF(AF35=1,1.4*AX$1,AX$1)),(IF(AF35=1,1.4*AX$1,AX$1)))</f>
        <v>218.07692307692307</v>
      </c>
      <c r="AS35" s="7">
        <f>IF($AE35=1,1.3*(IF(AG35=1,1.4*AY$1,AY$1)),(IF(AG35=1,1.4*AY$1,AY$1)))</f>
        <v>192.30769230769232</v>
      </c>
      <c r="AT35" s="7">
        <f>IF($AE35=1,1.3*(IF(AH35=1,1.4*AZ$1,AZ$1)),(IF(AH35=1,1.4*AZ$1,AZ$1)))</f>
        <v>920.76923076923072</v>
      </c>
      <c r="AU35" s="7">
        <f>IF($AE35=1,1.3*(IF(AI35=1,1.4*BA$1,BA$1)),(IF(AI35=1,1.4*BA$1,BA$1)))</f>
        <v>323.07692307692304</v>
      </c>
      <c r="AV35" s="7">
        <f>IF($AE35=1,1.3*(IF(AJ35=1,1.4*BB$1,BB$1)),(IF(AJ35=1,1.4*BB$1,BB$1)))</f>
        <v>35.384615384615387</v>
      </c>
      <c r="AW35" s="7">
        <f>IF($AE35=1,1.3*(IF(AK35=1,1.4*BC$1,BC$1)),(IF(AK35=1,1.4*BC$1,BC$1)))</f>
        <v>936.92307692307691</v>
      </c>
      <c r="AX35" s="7">
        <f>IF($AE35=1,1.3*(IF(AL35=1,1.4*BD$1,BD$1)),(IF(AL35=1,1.4*BD$1,BD$1)))</f>
        <v>242.30769230769229</v>
      </c>
      <c r="AY35" s="7">
        <f>IF($AE35=1,1.3*(IF(AM35=1,1.4*BE$1,BE$1)),(IF(AM35=1,1.4*BE$1,BE$1)))</f>
        <v>557.69230769230762</v>
      </c>
      <c r="AZ35" s="7">
        <f>IF($AE35=1,1.3*(IF(AN35=1,1.4*BF$1,BF$1)),(IF(AN35=1,1.4*BF$1,BF$1)))</f>
        <v>67.84615384615384</v>
      </c>
      <c r="BA35" s="7">
        <f>IF($AE35=1,1.3*(IF(AO35=1,1.4*BG$1,BG$1)),(IF(AO35=1,1.4*BG$1,BG$1)))</f>
        <v>29.615384615384617</v>
      </c>
      <c r="BB35" s="7">
        <f>IF($AE35=1,1.3*(IF(AP35=1,1.4*BH$1,BH$1)),(IF(AP35=1,1.4*BH$1,BH$1)))</f>
        <v>120.19230769230769</v>
      </c>
      <c r="BC35" s="9">
        <f>SUM(AR35:BB35)</f>
        <v>3644.1923076923081</v>
      </c>
      <c r="BD35">
        <f>BC35*4.2</f>
        <v>15305.607692307694</v>
      </c>
      <c r="BE35">
        <f t="shared" si="2"/>
        <v>30611.215384615389</v>
      </c>
      <c r="BF35">
        <f>IF(AE35=1,$BK$1,$BL$1)</f>
        <v>9230</v>
      </c>
      <c r="BG35">
        <f>BF35-BD35</f>
        <v>-6075.6076923076944</v>
      </c>
      <c r="BH35">
        <f>(H35-BC35)*4.2</f>
        <v>5694.3923076923065</v>
      </c>
    </row>
    <row r="36" spans="1:60" ht="115.2" x14ac:dyDescent="0.3">
      <c r="A36" s="3" t="s">
        <v>109</v>
      </c>
      <c r="B36" s="3" t="s">
        <v>31</v>
      </c>
      <c r="C36" s="3">
        <v>20</v>
      </c>
      <c r="D36" s="3" t="s">
        <v>32</v>
      </c>
      <c r="E36" s="3" t="s">
        <v>33</v>
      </c>
      <c r="F36" s="3">
        <v>60000</v>
      </c>
      <c r="G36" s="3" t="s">
        <v>71</v>
      </c>
      <c r="H36" s="3" t="s">
        <v>55</v>
      </c>
      <c r="I36" s="3" t="s">
        <v>41</v>
      </c>
      <c r="J36" s="3" t="s">
        <v>38</v>
      </c>
      <c r="K36" s="3" t="s">
        <v>38</v>
      </c>
      <c r="L36" s="3" t="s">
        <v>38</v>
      </c>
      <c r="M36" s="3" t="s">
        <v>41</v>
      </c>
      <c r="N36" s="3" t="s">
        <v>39</v>
      </c>
      <c r="O36" s="3" t="s">
        <v>39</v>
      </c>
      <c r="P36" s="3" t="s">
        <v>38</v>
      </c>
      <c r="Q36" s="3" t="s">
        <v>39</v>
      </c>
      <c r="R36" s="3" t="s">
        <v>49</v>
      </c>
      <c r="S36" s="3" t="s">
        <v>49</v>
      </c>
      <c r="T36" s="3" t="s">
        <v>43</v>
      </c>
      <c r="U36" s="3" t="s">
        <v>43</v>
      </c>
      <c r="V36" s="3" t="s">
        <v>42</v>
      </c>
      <c r="W36" s="3" t="s">
        <v>42</v>
      </c>
      <c r="X36" s="3" t="s">
        <v>43</v>
      </c>
      <c r="Y36" s="3" t="s">
        <v>42</v>
      </c>
      <c r="Z36" s="3" t="s">
        <v>42</v>
      </c>
      <c r="AA36" s="3" t="s">
        <v>42</v>
      </c>
      <c r="AB36" s="3" t="s">
        <v>42</v>
      </c>
      <c r="AC36" s="3" t="s">
        <v>43</v>
      </c>
      <c r="AD36" s="3" t="s">
        <v>43</v>
      </c>
      <c r="AE36" s="3">
        <f>IF(G58 = "Москва",1,0)</f>
        <v>0</v>
      </c>
      <c r="AF36">
        <f t="shared" si="3"/>
        <v>0</v>
      </c>
      <c r="AG36">
        <f>IF(U35="Да",1,0)</f>
        <v>0</v>
      </c>
      <c r="AH36">
        <f>IF(V35="Да",1,0)</f>
        <v>1</v>
      </c>
      <c r="AI36">
        <f>IF(W35="Да",1,0)</f>
        <v>1</v>
      </c>
      <c r="AJ36">
        <f>IF(X35="Да",1,0)</f>
        <v>0</v>
      </c>
      <c r="AK36">
        <f>IF(Y35="Да",1,0)</f>
        <v>1</v>
      </c>
      <c r="AL36">
        <f>IF(Z35="Да",1,0)</f>
        <v>1</v>
      </c>
      <c r="AM36">
        <f>IF(AA35="Да",1,0)</f>
        <v>0</v>
      </c>
      <c r="AN36">
        <f>IF(AB35="Да",1,0)</f>
        <v>1</v>
      </c>
      <c r="AO36">
        <f>IF(AC35="Да",1,0)</f>
        <v>1</v>
      </c>
      <c r="AP36">
        <f>IF(AD35="Да",1,0)</f>
        <v>1</v>
      </c>
      <c r="AR36" s="7">
        <f>IF($AE36=1,1.3*(IF(AF36=1,1.4*AX$1,AX$1)),(IF(AF36=1,1.4*AX$1,AX$1)))</f>
        <v>218.07692307692307</v>
      </c>
      <c r="AS36" s="7">
        <f>IF($AE36=1,1.3*(IF(AG36=1,1.4*AY$1,AY$1)),(IF(AG36=1,1.4*AY$1,AY$1)))</f>
        <v>192.30769230769232</v>
      </c>
      <c r="AT36" s="7">
        <f>IF($AE36=1,1.3*(IF(AH36=1,1.4*AZ$1,AZ$1)),(IF(AH36=1,1.4*AZ$1,AZ$1)))</f>
        <v>920.76923076923072</v>
      </c>
      <c r="AU36" s="7">
        <f>IF($AE36=1,1.3*(IF(AI36=1,1.4*BA$1,BA$1)),(IF(AI36=1,1.4*BA$1,BA$1)))</f>
        <v>323.07692307692304</v>
      </c>
      <c r="AV36" s="7">
        <f>IF($AE36=1,1.3*(IF(AJ36=1,1.4*BB$1,BB$1)),(IF(AJ36=1,1.4*BB$1,BB$1)))</f>
        <v>35.384615384615387</v>
      </c>
      <c r="AW36" s="7">
        <f>IF($AE36=1,1.3*(IF(AK36=1,1.4*BC$1,BC$1)),(IF(AK36=1,1.4*BC$1,BC$1)))</f>
        <v>936.92307692307691</v>
      </c>
      <c r="AX36" s="7">
        <f>IF($AE36=1,1.3*(IF(AL36=1,1.4*BD$1,BD$1)),(IF(AL36=1,1.4*BD$1,BD$1)))</f>
        <v>339.23076923076917</v>
      </c>
      <c r="AY36" s="7">
        <f>IF($AE36=1,1.3*(IF(AM36=1,1.4*BE$1,BE$1)),(IF(AM36=1,1.4*BE$1,BE$1)))</f>
        <v>557.69230769230762</v>
      </c>
      <c r="AZ36" s="7">
        <f>IF($AE36=1,1.3*(IF(AN36=1,1.4*BF$1,BF$1)),(IF(AN36=1,1.4*BF$1,BF$1)))</f>
        <v>67.84615384615384</v>
      </c>
      <c r="BA36" s="7">
        <f>IF($AE36=1,1.3*(IF(AO36=1,1.4*BG$1,BG$1)),(IF(AO36=1,1.4*BG$1,BG$1)))</f>
        <v>41.46153846153846</v>
      </c>
      <c r="BB36" s="7">
        <f>IF($AE36=1,1.3*(IF(AP36=1,1.4*BH$1,BH$1)),(IF(AP36=1,1.4*BH$1,BH$1)))</f>
        <v>168.26923076923077</v>
      </c>
      <c r="BC36" s="9">
        <f>SUM(AR36:BB36)</f>
        <v>3801.0384615384619</v>
      </c>
      <c r="BD36">
        <f>BC36*4.2</f>
        <v>15964.36153846154</v>
      </c>
      <c r="BE36">
        <f t="shared" si="2"/>
        <v>31928.723076923081</v>
      </c>
      <c r="BF36">
        <f>IF(AE36=1,$BK$1,$BL$1)</f>
        <v>9230</v>
      </c>
      <c r="BG36">
        <f>BF36-BD36</f>
        <v>-6734.3615384615405</v>
      </c>
      <c r="BH36">
        <f>(H36-BC36)*4.2</f>
        <v>5035.6384615384604</v>
      </c>
    </row>
    <row r="37" spans="1:60" ht="115.2" x14ac:dyDescent="0.3">
      <c r="A37" s="3" t="s">
        <v>110</v>
      </c>
      <c r="B37" s="3" t="s">
        <v>31</v>
      </c>
      <c r="C37" s="3">
        <v>20</v>
      </c>
      <c r="D37" s="3" t="s">
        <v>32</v>
      </c>
      <c r="E37" s="3" t="s">
        <v>57</v>
      </c>
      <c r="F37" s="3">
        <v>12000</v>
      </c>
      <c r="G37" s="3" t="s">
        <v>71</v>
      </c>
      <c r="H37" s="3" t="s">
        <v>91</v>
      </c>
      <c r="I37" s="3" t="s">
        <v>41</v>
      </c>
      <c r="J37" s="3" t="s">
        <v>41</v>
      </c>
      <c r="K37" s="3" t="s">
        <v>38</v>
      </c>
      <c r="L37" s="3" t="s">
        <v>38</v>
      </c>
      <c r="M37" s="3" t="s">
        <v>41</v>
      </c>
      <c r="N37" s="3" t="s">
        <v>38</v>
      </c>
      <c r="O37" s="3" t="s">
        <v>38</v>
      </c>
      <c r="P37" s="3" t="s">
        <v>37</v>
      </c>
      <c r="Q37" s="3" t="s">
        <v>38</v>
      </c>
      <c r="R37" s="3" t="s">
        <v>39</v>
      </c>
      <c r="S37" s="3" t="s">
        <v>39</v>
      </c>
      <c r="T37" s="3" t="s">
        <v>43</v>
      </c>
      <c r="U37" s="3" t="s">
        <v>43</v>
      </c>
      <c r="V37" s="3" t="s">
        <v>42</v>
      </c>
      <c r="W37" s="3" t="s">
        <v>42</v>
      </c>
      <c r="X37" s="3" t="s">
        <v>43</v>
      </c>
      <c r="Y37" s="3" t="s">
        <v>42</v>
      </c>
      <c r="Z37" s="3" t="s">
        <v>42</v>
      </c>
      <c r="AA37" s="3" t="s">
        <v>42</v>
      </c>
      <c r="AB37" s="3" t="s">
        <v>42</v>
      </c>
      <c r="AC37" s="3" t="s">
        <v>42</v>
      </c>
      <c r="AD37" s="3" t="s">
        <v>42</v>
      </c>
      <c r="AE37" s="3">
        <f>IF(G59 = "Москва",1,0)</f>
        <v>0</v>
      </c>
      <c r="AF37">
        <f t="shared" si="3"/>
        <v>0</v>
      </c>
      <c r="AG37">
        <f>IF(U36="Да",1,0)</f>
        <v>0</v>
      </c>
      <c r="AH37">
        <f>IF(V36="Да",1,0)</f>
        <v>1</v>
      </c>
      <c r="AI37">
        <f>IF(W36="Да",1,0)</f>
        <v>1</v>
      </c>
      <c r="AJ37">
        <f>IF(X36="Да",1,0)</f>
        <v>0</v>
      </c>
      <c r="AK37">
        <f>IF(Y36="Да",1,0)</f>
        <v>1</v>
      </c>
      <c r="AL37">
        <f>IF(Z36="Да",1,0)</f>
        <v>1</v>
      </c>
      <c r="AM37">
        <f>IF(AA36="Да",1,0)</f>
        <v>1</v>
      </c>
      <c r="AN37">
        <f>IF(AB36="Да",1,0)</f>
        <v>1</v>
      </c>
      <c r="AO37">
        <f>IF(AC36="Да",1,0)</f>
        <v>0</v>
      </c>
      <c r="AP37">
        <f>IF(AD36="Да",1,0)</f>
        <v>0</v>
      </c>
      <c r="AR37" s="7">
        <f>IF($AE37=1,1.3*(IF(AF37=1,1.4*AX$1,AX$1)),(IF(AF37=1,1.4*AX$1,AX$1)))</f>
        <v>218.07692307692307</v>
      </c>
      <c r="AS37" s="7">
        <f>IF($AE37=1,1.3*(IF(AG37=1,1.4*AY$1,AY$1)),(IF(AG37=1,1.4*AY$1,AY$1)))</f>
        <v>192.30769230769232</v>
      </c>
      <c r="AT37" s="7">
        <f>IF($AE37=1,1.3*(IF(AH37=1,1.4*AZ$1,AZ$1)),(IF(AH37=1,1.4*AZ$1,AZ$1)))</f>
        <v>920.76923076923072</v>
      </c>
      <c r="AU37" s="7">
        <f>IF($AE37=1,1.3*(IF(AI37=1,1.4*BA$1,BA$1)),(IF(AI37=1,1.4*BA$1,BA$1)))</f>
        <v>323.07692307692304</v>
      </c>
      <c r="AV37" s="7">
        <f>IF($AE37=1,1.3*(IF(AJ37=1,1.4*BB$1,BB$1)),(IF(AJ37=1,1.4*BB$1,BB$1)))</f>
        <v>35.384615384615387</v>
      </c>
      <c r="AW37" s="7">
        <f>IF($AE37=1,1.3*(IF(AK37=1,1.4*BC$1,BC$1)),(IF(AK37=1,1.4*BC$1,BC$1)))</f>
        <v>936.92307692307691</v>
      </c>
      <c r="AX37" s="7">
        <f>IF($AE37=1,1.3*(IF(AL37=1,1.4*BD$1,BD$1)),(IF(AL37=1,1.4*BD$1,BD$1)))</f>
        <v>339.23076923076917</v>
      </c>
      <c r="AY37" s="7">
        <f>IF($AE37=1,1.3*(IF(AM37=1,1.4*BE$1,BE$1)),(IF(AM37=1,1.4*BE$1,BE$1)))</f>
        <v>780.7692307692306</v>
      </c>
      <c r="AZ37" s="7">
        <f>IF($AE37=1,1.3*(IF(AN37=1,1.4*BF$1,BF$1)),(IF(AN37=1,1.4*BF$1,BF$1)))</f>
        <v>67.84615384615384</v>
      </c>
      <c r="BA37" s="7">
        <f>IF($AE37=1,1.3*(IF(AO37=1,1.4*BG$1,BG$1)),(IF(AO37=1,1.4*BG$1,BG$1)))</f>
        <v>29.615384615384617</v>
      </c>
      <c r="BB37" s="7">
        <f>IF($AE37=1,1.3*(IF(AP37=1,1.4*BH$1,BH$1)),(IF(AP37=1,1.4*BH$1,BH$1)))</f>
        <v>120.19230769230769</v>
      </c>
      <c r="BC37" s="9">
        <f>SUM(AR37:BB37)</f>
        <v>3964.1923076923076</v>
      </c>
      <c r="BD37">
        <f>BC37*4.2</f>
        <v>16649.607692307694</v>
      </c>
      <c r="BE37">
        <f t="shared" si="2"/>
        <v>33299.215384615389</v>
      </c>
      <c r="BF37">
        <f>IF(AE37=1,$BK$1,$BL$1)</f>
        <v>9230</v>
      </c>
      <c r="BG37">
        <f>BF37-BD37</f>
        <v>-7419.6076923076944</v>
      </c>
      <c r="BH37">
        <f>(H37-BC37)*4.2</f>
        <v>25350.392307692309</v>
      </c>
    </row>
    <row r="38" spans="1:60" ht="115.2" x14ac:dyDescent="0.3">
      <c r="A38" s="3" t="s">
        <v>111</v>
      </c>
      <c r="B38" s="3" t="s">
        <v>45</v>
      </c>
      <c r="C38" s="3">
        <v>18</v>
      </c>
      <c r="D38" s="3" t="s">
        <v>32</v>
      </c>
      <c r="E38" s="3" t="s">
        <v>43</v>
      </c>
      <c r="F38" s="3">
        <v>12000</v>
      </c>
      <c r="G38" s="3" t="s">
        <v>71</v>
      </c>
      <c r="H38" s="3" t="s">
        <v>53</v>
      </c>
      <c r="I38" s="3" t="s">
        <v>39</v>
      </c>
      <c r="J38" s="3" t="s">
        <v>39</v>
      </c>
      <c r="K38" s="3" t="s">
        <v>37</v>
      </c>
      <c r="L38" s="3" t="s">
        <v>39</v>
      </c>
      <c r="M38" s="3" t="s">
        <v>35</v>
      </c>
      <c r="N38" s="3" t="s">
        <v>38</v>
      </c>
      <c r="O38" s="3" t="s">
        <v>49</v>
      </c>
      <c r="P38" s="3" t="s">
        <v>37</v>
      </c>
      <c r="Q38" s="3" t="s">
        <v>37</v>
      </c>
      <c r="R38" s="3" t="s">
        <v>59</v>
      </c>
      <c r="S38" s="3" t="s">
        <v>59</v>
      </c>
      <c r="T38" s="3" t="s">
        <v>42</v>
      </c>
      <c r="U38" s="3" t="s">
        <v>43</v>
      </c>
      <c r="V38" s="3" t="s">
        <v>43</v>
      </c>
      <c r="W38" s="3" t="s">
        <v>43</v>
      </c>
      <c r="X38" s="3" t="s">
        <v>43</v>
      </c>
      <c r="Y38" s="3" t="s">
        <v>42</v>
      </c>
      <c r="Z38" s="3" t="s">
        <v>43</v>
      </c>
      <c r="AA38" s="3" t="s">
        <v>43</v>
      </c>
      <c r="AB38" s="3" t="s">
        <v>42</v>
      </c>
      <c r="AC38" s="3" t="s">
        <v>42</v>
      </c>
      <c r="AD38" s="3" t="s">
        <v>42</v>
      </c>
      <c r="AE38" s="3">
        <f>IF(G60 = "Москва",1,0)</f>
        <v>0</v>
      </c>
      <c r="AF38">
        <f t="shared" si="3"/>
        <v>1</v>
      </c>
      <c r="AG38">
        <f>IF(U37="Да",1,0)</f>
        <v>0</v>
      </c>
      <c r="AH38">
        <f>IF(V37="Да",1,0)</f>
        <v>1</v>
      </c>
      <c r="AI38">
        <f>IF(W37="Да",1,0)</f>
        <v>1</v>
      </c>
      <c r="AJ38">
        <f>IF(X37="Да",1,0)</f>
        <v>0</v>
      </c>
      <c r="AK38">
        <f>IF(Y37="Да",1,0)</f>
        <v>1</v>
      </c>
      <c r="AL38">
        <f>IF(Z37="Да",1,0)</f>
        <v>1</v>
      </c>
      <c r="AM38">
        <f>IF(AA37="Да",1,0)</f>
        <v>1</v>
      </c>
      <c r="AN38">
        <f>IF(AB37="Да",1,0)</f>
        <v>1</v>
      </c>
      <c r="AO38">
        <f>IF(AC37="Да",1,0)</f>
        <v>1</v>
      </c>
      <c r="AP38">
        <f>IF(AD37="Да",1,0)</f>
        <v>1</v>
      </c>
      <c r="AR38" s="7">
        <f>IF($AE38=1,1.3*(IF(AF38=1,1.4*AX$1,AX$1)),(IF(AF38=1,1.4*AX$1,AX$1)))</f>
        <v>305.30769230769226</v>
      </c>
      <c r="AS38" s="7">
        <f>IF($AE38=1,1.3*(IF(AG38=1,1.4*AY$1,AY$1)),(IF(AG38=1,1.4*AY$1,AY$1)))</f>
        <v>192.30769230769232</v>
      </c>
      <c r="AT38" s="7">
        <f>IF($AE38=1,1.3*(IF(AH38=1,1.4*AZ$1,AZ$1)),(IF(AH38=1,1.4*AZ$1,AZ$1)))</f>
        <v>920.76923076923072</v>
      </c>
      <c r="AU38" s="7">
        <f>IF($AE38=1,1.3*(IF(AI38=1,1.4*BA$1,BA$1)),(IF(AI38=1,1.4*BA$1,BA$1)))</f>
        <v>323.07692307692304</v>
      </c>
      <c r="AV38" s="7">
        <f>IF($AE38=1,1.3*(IF(AJ38=1,1.4*BB$1,BB$1)),(IF(AJ38=1,1.4*BB$1,BB$1)))</f>
        <v>35.384615384615387</v>
      </c>
      <c r="AW38" s="7">
        <f>IF($AE38=1,1.3*(IF(AK38=1,1.4*BC$1,BC$1)),(IF(AK38=1,1.4*BC$1,BC$1)))</f>
        <v>936.92307692307691</v>
      </c>
      <c r="AX38" s="7">
        <f>IF($AE38=1,1.3*(IF(AL38=1,1.4*BD$1,BD$1)),(IF(AL38=1,1.4*BD$1,BD$1)))</f>
        <v>339.23076923076917</v>
      </c>
      <c r="AY38" s="7">
        <f>IF($AE38=1,1.3*(IF(AM38=1,1.4*BE$1,BE$1)),(IF(AM38=1,1.4*BE$1,BE$1)))</f>
        <v>780.7692307692306</v>
      </c>
      <c r="AZ38" s="7">
        <f>IF($AE38=1,1.3*(IF(AN38=1,1.4*BF$1,BF$1)),(IF(AN38=1,1.4*BF$1,BF$1)))</f>
        <v>67.84615384615384</v>
      </c>
      <c r="BA38" s="7">
        <f>IF($AE38=1,1.3*(IF(AO38=1,1.4*BG$1,BG$1)),(IF(AO38=1,1.4*BG$1,BG$1)))</f>
        <v>41.46153846153846</v>
      </c>
      <c r="BB38" s="7">
        <f>IF($AE38=1,1.3*(IF(AP38=1,1.4*BH$1,BH$1)),(IF(AP38=1,1.4*BH$1,BH$1)))</f>
        <v>168.26923076923077</v>
      </c>
      <c r="BC38" s="9">
        <f>SUM(AR38:BB38)</f>
        <v>4111.3461538461534</v>
      </c>
      <c r="BD38">
        <f>BC38*4.2</f>
        <v>17267.653846153844</v>
      </c>
      <c r="BE38">
        <f t="shared" si="2"/>
        <v>34535.307692307688</v>
      </c>
      <c r="BF38">
        <f>IF(AE38=1,$BK$1,$BL$1)</f>
        <v>9230</v>
      </c>
      <c r="BG38">
        <f>BF38-BD38</f>
        <v>-8037.6538461538439</v>
      </c>
      <c r="BH38">
        <f>(H38-BC38)*4.2</f>
        <v>-467.65384615384414</v>
      </c>
    </row>
    <row r="39" spans="1:60" ht="115.2" x14ac:dyDescent="0.3">
      <c r="A39" s="3" t="s">
        <v>112</v>
      </c>
      <c r="B39" s="3" t="s">
        <v>31</v>
      </c>
      <c r="C39" s="3">
        <v>20</v>
      </c>
      <c r="D39" s="3" t="s">
        <v>32</v>
      </c>
      <c r="E39" s="3" t="s">
        <v>43</v>
      </c>
      <c r="F39" s="3">
        <v>21000</v>
      </c>
      <c r="G39" s="3" t="s">
        <v>71</v>
      </c>
      <c r="H39" s="3" t="s">
        <v>55</v>
      </c>
      <c r="I39" s="3" t="s">
        <v>39</v>
      </c>
      <c r="J39" s="3" t="s">
        <v>40</v>
      </c>
      <c r="K39" s="3" t="s">
        <v>38</v>
      </c>
      <c r="L39" s="3" t="s">
        <v>49</v>
      </c>
      <c r="M39" s="3" t="s">
        <v>49</v>
      </c>
      <c r="N39" s="3" t="s">
        <v>38</v>
      </c>
      <c r="O39" s="3" t="s">
        <v>49</v>
      </c>
      <c r="P39" s="3" t="s">
        <v>38</v>
      </c>
      <c r="Q39" s="3" t="s">
        <v>49</v>
      </c>
      <c r="R39" s="3" t="s">
        <v>39</v>
      </c>
      <c r="S39" s="3" t="s">
        <v>48</v>
      </c>
      <c r="T39" s="3" t="s">
        <v>43</v>
      </c>
      <c r="U39" s="3" t="s">
        <v>43</v>
      </c>
      <c r="V39" s="3" t="s">
        <v>42</v>
      </c>
      <c r="W39" s="3" t="s">
        <v>43</v>
      </c>
      <c r="X39" s="3" t="s">
        <v>43</v>
      </c>
      <c r="Y39" s="3" t="s">
        <v>42</v>
      </c>
      <c r="Z39" s="3" t="s">
        <v>43</v>
      </c>
      <c r="AA39" s="3" t="s">
        <v>42</v>
      </c>
      <c r="AB39" s="3" t="s">
        <v>43</v>
      </c>
      <c r="AC39" s="3" t="s">
        <v>42</v>
      </c>
      <c r="AD39" s="3" t="s">
        <v>43</v>
      </c>
      <c r="AE39" s="3">
        <f>IF(G61 = "Москва",1,0)</f>
        <v>0</v>
      </c>
      <c r="AF39">
        <f t="shared" si="3"/>
        <v>0</v>
      </c>
      <c r="AG39">
        <f>IF(U38="Да",1,0)</f>
        <v>0</v>
      </c>
      <c r="AH39">
        <f>IF(V38="Да",1,0)</f>
        <v>0</v>
      </c>
      <c r="AI39">
        <f>IF(W38="Да",1,0)</f>
        <v>0</v>
      </c>
      <c r="AJ39">
        <f>IF(X38="Да",1,0)</f>
        <v>0</v>
      </c>
      <c r="AK39">
        <f>IF(Y38="Да",1,0)</f>
        <v>1</v>
      </c>
      <c r="AL39">
        <f>IF(Z38="Да",1,0)</f>
        <v>0</v>
      </c>
      <c r="AM39">
        <f>IF(AA38="Да",1,0)</f>
        <v>0</v>
      </c>
      <c r="AN39">
        <f>IF(AB38="Да",1,0)</f>
        <v>1</v>
      </c>
      <c r="AO39">
        <f>IF(AC38="Да",1,0)</f>
        <v>1</v>
      </c>
      <c r="AP39">
        <f>IF(AD38="Да",1,0)</f>
        <v>1</v>
      </c>
      <c r="AR39" s="7">
        <f>IF($AE39=1,1.3*(IF(AF39=1,1.4*AX$1,AX$1)),(IF(AF39=1,1.4*AX$1,AX$1)))</f>
        <v>218.07692307692307</v>
      </c>
      <c r="AS39" s="7">
        <f>IF($AE39=1,1.3*(IF(AG39=1,1.4*AY$1,AY$1)),(IF(AG39=1,1.4*AY$1,AY$1)))</f>
        <v>192.30769230769232</v>
      </c>
      <c r="AT39" s="7">
        <f>IF($AE39=1,1.3*(IF(AH39=1,1.4*AZ$1,AZ$1)),(IF(AH39=1,1.4*AZ$1,AZ$1)))</f>
        <v>657.69230769230774</v>
      </c>
      <c r="AU39" s="7">
        <f>IF($AE39=1,1.3*(IF(AI39=1,1.4*BA$1,BA$1)),(IF(AI39=1,1.4*BA$1,BA$1)))</f>
        <v>230.76923076923075</v>
      </c>
      <c r="AV39" s="7">
        <f>IF($AE39=1,1.3*(IF(AJ39=1,1.4*BB$1,BB$1)),(IF(AJ39=1,1.4*BB$1,BB$1)))</f>
        <v>35.384615384615387</v>
      </c>
      <c r="AW39" s="7">
        <f>IF($AE39=1,1.3*(IF(AK39=1,1.4*BC$1,BC$1)),(IF(AK39=1,1.4*BC$1,BC$1)))</f>
        <v>936.92307692307691</v>
      </c>
      <c r="AX39" s="7">
        <f>IF($AE39=1,1.3*(IF(AL39=1,1.4*BD$1,BD$1)),(IF(AL39=1,1.4*BD$1,BD$1)))</f>
        <v>242.30769230769229</v>
      </c>
      <c r="AY39" s="7">
        <f>IF($AE39=1,1.3*(IF(AM39=1,1.4*BE$1,BE$1)),(IF(AM39=1,1.4*BE$1,BE$1)))</f>
        <v>557.69230769230762</v>
      </c>
      <c r="AZ39" s="7">
        <f>IF($AE39=1,1.3*(IF(AN39=1,1.4*BF$1,BF$1)),(IF(AN39=1,1.4*BF$1,BF$1)))</f>
        <v>67.84615384615384</v>
      </c>
      <c r="BA39" s="7">
        <f>IF($AE39=1,1.3*(IF(AO39=1,1.4*BG$1,BG$1)),(IF(AO39=1,1.4*BG$1,BG$1)))</f>
        <v>41.46153846153846</v>
      </c>
      <c r="BB39" s="7">
        <f>IF($AE39=1,1.3*(IF(AP39=1,1.4*BH$1,BH$1)),(IF(AP39=1,1.4*BH$1,BH$1)))</f>
        <v>168.26923076923077</v>
      </c>
      <c r="BC39" s="9">
        <f>SUM(AR39:BB39)</f>
        <v>3348.7307692307695</v>
      </c>
      <c r="BD39">
        <f>BC39*4.2</f>
        <v>14064.669230769232</v>
      </c>
      <c r="BE39">
        <f t="shared" si="2"/>
        <v>28129.338461538464</v>
      </c>
      <c r="BF39">
        <f>IF(AE39=1,$BK$1,$BL$1)</f>
        <v>9230</v>
      </c>
      <c r="BG39">
        <f>BF39-BD39</f>
        <v>-4834.6692307692319</v>
      </c>
      <c r="BH39">
        <f>(H39-BC39)*4.2</f>
        <v>6935.3307692307681</v>
      </c>
    </row>
    <row r="40" spans="1:60" ht="115.2" x14ac:dyDescent="0.3">
      <c r="A40" s="3" t="s">
        <v>113</v>
      </c>
      <c r="B40" s="3" t="s">
        <v>31</v>
      </c>
      <c r="C40" s="3">
        <v>50</v>
      </c>
      <c r="D40" s="3" t="s">
        <v>32</v>
      </c>
      <c r="E40" s="3" t="s">
        <v>33</v>
      </c>
      <c r="F40" s="3">
        <v>60000</v>
      </c>
      <c r="G40" s="3" t="s">
        <v>71</v>
      </c>
      <c r="H40" s="3" t="s">
        <v>55</v>
      </c>
      <c r="I40" s="3" t="s">
        <v>48</v>
      </c>
      <c r="J40" s="3" t="s">
        <v>39</v>
      </c>
      <c r="K40" s="3" t="s">
        <v>39</v>
      </c>
      <c r="L40" s="3" t="s">
        <v>39</v>
      </c>
      <c r="M40" s="3" t="s">
        <v>41</v>
      </c>
      <c r="N40" s="3" t="s">
        <v>38</v>
      </c>
      <c r="O40" s="3" t="s">
        <v>49</v>
      </c>
      <c r="P40" s="3" t="s">
        <v>40</v>
      </c>
      <c r="Q40" s="3" t="s">
        <v>40</v>
      </c>
      <c r="R40" s="3" t="s">
        <v>37</v>
      </c>
      <c r="S40" s="3" t="s">
        <v>39</v>
      </c>
      <c r="T40" s="3" t="s">
        <v>43</v>
      </c>
      <c r="U40" s="3" t="s">
        <v>42</v>
      </c>
      <c r="V40" s="3" t="s">
        <v>42</v>
      </c>
      <c r="W40" s="3" t="s">
        <v>43</v>
      </c>
      <c r="X40" s="3" t="s">
        <v>43</v>
      </c>
      <c r="Y40" s="3" t="s">
        <v>42</v>
      </c>
      <c r="Z40" s="3" t="s">
        <v>43</v>
      </c>
      <c r="AA40" s="3" t="s">
        <v>43</v>
      </c>
      <c r="AB40" s="3" t="s">
        <v>42</v>
      </c>
      <c r="AC40" s="3" t="s">
        <v>42</v>
      </c>
      <c r="AD40" s="3" t="s">
        <v>42</v>
      </c>
      <c r="AE40" s="3">
        <f>IF(G62 = "Москва",1,0)</f>
        <v>0</v>
      </c>
      <c r="AF40">
        <f t="shared" si="3"/>
        <v>0</v>
      </c>
      <c r="AG40">
        <f>IF(U39="Да",1,0)</f>
        <v>0</v>
      </c>
      <c r="AH40">
        <f>IF(V39="Да",1,0)</f>
        <v>1</v>
      </c>
      <c r="AI40">
        <f>IF(W39="Да",1,0)</f>
        <v>0</v>
      </c>
      <c r="AJ40">
        <f>IF(X39="Да",1,0)</f>
        <v>0</v>
      </c>
      <c r="AK40">
        <f>IF(Y39="Да",1,0)</f>
        <v>1</v>
      </c>
      <c r="AL40">
        <f>IF(Z39="Да",1,0)</f>
        <v>0</v>
      </c>
      <c r="AM40">
        <f>IF(AA39="Да",1,0)</f>
        <v>1</v>
      </c>
      <c r="AN40">
        <f>IF(AB39="Да",1,0)</f>
        <v>0</v>
      </c>
      <c r="AO40">
        <f>IF(AC39="Да",1,0)</f>
        <v>1</v>
      </c>
      <c r="AP40">
        <f>IF(AD39="Да",1,0)</f>
        <v>0</v>
      </c>
      <c r="AR40" s="7">
        <f>IF($AE40=1,1.3*(IF(AF40=1,1.4*AX$1,AX$1)),(IF(AF40=1,1.4*AX$1,AX$1)))</f>
        <v>218.07692307692307</v>
      </c>
      <c r="AS40" s="7">
        <f>IF($AE40=1,1.3*(IF(AG40=1,1.4*AY$1,AY$1)),(IF(AG40=1,1.4*AY$1,AY$1)))</f>
        <v>192.30769230769232</v>
      </c>
      <c r="AT40" s="7">
        <f>IF($AE40=1,1.3*(IF(AH40=1,1.4*AZ$1,AZ$1)),(IF(AH40=1,1.4*AZ$1,AZ$1)))</f>
        <v>920.76923076923072</v>
      </c>
      <c r="AU40" s="7">
        <f>IF($AE40=1,1.3*(IF(AI40=1,1.4*BA$1,BA$1)),(IF(AI40=1,1.4*BA$1,BA$1)))</f>
        <v>230.76923076923075</v>
      </c>
      <c r="AV40" s="7">
        <f>IF($AE40=1,1.3*(IF(AJ40=1,1.4*BB$1,BB$1)),(IF(AJ40=1,1.4*BB$1,BB$1)))</f>
        <v>35.384615384615387</v>
      </c>
      <c r="AW40" s="7">
        <f>IF($AE40=1,1.3*(IF(AK40=1,1.4*BC$1,BC$1)),(IF(AK40=1,1.4*BC$1,BC$1)))</f>
        <v>936.92307692307691</v>
      </c>
      <c r="AX40" s="7">
        <f>IF($AE40=1,1.3*(IF(AL40=1,1.4*BD$1,BD$1)),(IF(AL40=1,1.4*BD$1,BD$1)))</f>
        <v>242.30769230769229</v>
      </c>
      <c r="AY40" s="7">
        <f>IF($AE40=1,1.3*(IF(AM40=1,1.4*BE$1,BE$1)),(IF(AM40=1,1.4*BE$1,BE$1)))</f>
        <v>780.7692307692306</v>
      </c>
      <c r="AZ40" s="7">
        <f>IF($AE40=1,1.3*(IF(AN40=1,1.4*BF$1,BF$1)),(IF(AN40=1,1.4*BF$1,BF$1)))</f>
        <v>48.46153846153846</v>
      </c>
      <c r="BA40" s="7">
        <f>IF($AE40=1,1.3*(IF(AO40=1,1.4*BG$1,BG$1)),(IF(AO40=1,1.4*BG$1,BG$1)))</f>
        <v>41.46153846153846</v>
      </c>
      <c r="BB40" s="7">
        <f>IF($AE40=1,1.3*(IF(AP40=1,1.4*BH$1,BH$1)),(IF(AP40=1,1.4*BH$1,BH$1)))</f>
        <v>120.19230769230769</v>
      </c>
      <c r="BC40" s="9">
        <f>SUM(AR40:BB40)</f>
        <v>3767.4230769230771</v>
      </c>
      <c r="BD40">
        <f>BC40*4.2</f>
        <v>15823.176923076924</v>
      </c>
      <c r="BE40">
        <f t="shared" si="2"/>
        <v>31646.353846153848</v>
      </c>
      <c r="BF40">
        <f>IF(AE40=1,$BK$1,$BL$1)</f>
        <v>9230</v>
      </c>
      <c r="BG40">
        <f>BF40-BD40</f>
        <v>-6593.1769230769241</v>
      </c>
      <c r="BH40">
        <f>(H40-BC40)*4.2</f>
        <v>5176.8230769230759</v>
      </c>
    </row>
    <row r="41" spans="1:60" ht="115.2" x14ac:dyDescent="0.3">
      <c r="A41" s="3" t="s">
        <v>114</v>
      </c>
      <c r="B41" s="3" t="s">
        <v>31</v>
      </c>
      <c r="C41" s="3">
        <v>20</v>
      </c>
      <c r="D41" s="3" t="s">
        <v>32</v>
      </c>
      <c r="E41" s="3" t="s">
        <v>43</v>
      </c>
      <c r="F41" s="3">
        <v>12000</v>
      </c>
      <c r="G41" s="3" t="s">
        <v>115</v>
      </c>
      <c r="H41" s="3">
        <v>20000</v>
      </c>
      <c r="I41" s="3" t="s">
        <v>37</v>
      </c>
      <c r="J41" s="3" t="s">
        <v>41</v>
      </c>
      <c r="K41" s="3" t="s">
        <v>37</v>
      </c>
      <c r="L41" s="3" t="s">
        <v>59</v>
      </c>
      <c r="M41" s="3" t="s">
        <v>41</v>
      </c>
      <c r="N41" s="3" t="s">
        <v>38</v>
      </c>
      <c r="O41" s="3" t="s">
        <v>41</v>
      </c>
      <c r="P41" s="3" t="s">
        <v>38</v>
      </c>
      <c r="Q41" s="3" t="s">
        <v>49</v>
      </c>
      <c r="R41" s="3" t="s">
        <v>49</v>
      </c>
      <c r="S41" s="3" t="s">
        <v>38</v>
      </c>
      <c r="T41" s="3" t="s">
        <v>42</v>
      </c>
      <c r="U41" s="3" t="s">
        <v>43</v>
      </c>
      <c r="V41" s="3" t="s">
        <v>42</v>
      </c>
      <c r="W41" s="3" t="s">
        <v>42</v>
      </c>
      <c r="X41" s="3" t="s">
        <v>43</v>
      </c>
      <c r="Y41" s="3" t="s">
        <v>42</v>
      </c>
      <c r="Z41" s="3" t="s">
        <v>43</v>
      </c>
      <c r="AA41" s="3" t="s">
        <v>42</v>
      </c>
      <c r="AB41" s="3" t="s">
        <v>43</v>
      </c>
      <c r="AC41" s="3" t="s">
        <v>43</v>
      </c>
      <c r="AD41" s="3" t="s">
        <v>42</v>
      </c>
      <c r="AE41" s="3">
        <f>IF(G63 = "Москва",1,0)</f>
        <v>0</v>
      </c>
      <c r="AF41">
        <f t="shared" si="3"/>
        <v>1</v>
      </c>
      <c r="AG41">
        <f>IF(U40="Да",1,0)</f>
        <v>1</v>
      </c>
      <c r="AH41">
        <f>IF(V40="Да",1,0)</f>
        <v>1</v>
      </c>
      <c r="AI41">
        <f>IF(W40="Да",1,0)</f>
        <v>0</v>
      </c>
      <c r="AJ41">
        <f>IF(X40="Да",1,0)</f>
        <v>0</v>
      </c>
      <c r="AK41">
        <f>IF(Y40="Да",1,0)</f>
        <v>1</v>
      </c>
      <c r="AL41">
        <f>IF(Z40="Да",1,0)</f>
        <v>0</v>
      </c>
      <c r="AM41">
        <f>IF(AA40="Да",1,0)</f>
        <v>0</v>
      </c>
      <c r="AN41">
        <f>IF(AB40="Да",1,0)</f>
        <v>1</v>
      </c>
      <c r="AO41">
        <f>IF(AC40="Да",1,0)</f>
        <v>1</v>
      </c>
      <c r="AP41">
        <f>IF(AD40="Да",1,0)</f>
        <v>1</v>
      </c>
      <c r="AR41" s="7">
        <f>IF($AE41=1,1.3*(IF(AF41=1,1.4*AX$1,AX$1)),(IF(AF41=1,1.4*AX$1,AX$1)))</f>
        <v>305.30769230769226</v>
      </c>
      <c r="AS41" s="7">
        <f>IF($AE41=1,1.3*(IF(AG41=1,1.4*AY$1,AY$1)),(IF(AG41=1,1.4*AY$1,AY$1)))</f>
        <v>269.23076923076923</v>
      </c>
      <c r="AT41" s="7">
        <f>IF($AE41=1,1.3*(IF(AH41=1,1.4*AZ$1,AZ$1)),(IF(AH41=1,1.4*AZ$1,AZ$1)))</f>
        <v>920.76923076923072</v>
      </c>
      <c r="AU41" s="7">
        <f>IF($AE41=1,1.3*(IF(AI41=1,1.4*BA$1,BA$1)),(IF(AI41=1,1.4*BA$1,BA$1)))</f>
        <v>230.76923076923075</v>
      </c>
      <c r="AV41" s="7">
        <f>IF($AE41=1,1.3*(IF(AJ41=1,1.4*BB$1,BB$1)),(IF(AJ41=1,1.4*BB$1,BB$1)))</f>
        <v>35.384615384615387</v>
      </c>
      <c r="AW41" s="7">
        <f>IF($AE41=1,1.3*(IF(AK41=1,1.4*BC$1,BC$1)),(IF(AK41=1,1.4*BC$1,BC$1)))</f>
        <v>936.92307692307691</v>
      </c>
      <c r="AX41" s="7">
        <f>IF($AE41=1,1.3*(IF(AL41=1,1.4*BD$1,BD$1)),(IF(AL41=1,1.4*BD$1,BD$1)))</f>
        <v>242.30769230769229</v>
      </c>
      <c r="AY41" s="7">
        <f>IF($AE41=1,1.3*(IF(AM41=1,1.4*BE$1,BE$1)),(IF(AM41=1,1.4*BE$1,BE$1)))</f>
        <v>557.69230769230762</v>
      </c>
      <c r="AZ41" s="7">
        <f>IF($AE41=1,1.3*(IF(AN41=1,1.4*BF$1,BF$1)),(IF(AN41=1,1.4*BF$1,BF$1)))</f>
        <v>67.84615384615384</v>
      </c>
      <c r="BA41" s="7">
        <f>IF($AE41=1,1.3*(IF(AO41=1,1.4*BG$1,BG$1)),(IF(AO41=1,1.4*BG$1,BG$1)))</f>
        <v>41.46153846153846</v>
      </c>
      <c r="BB41" s="7">
        <f>IF($AE41=1,1.3*(IF(AP41=1,1.4*BH$1,BH$1)),(IF(AP41=1,1.4*BH$1,BH$1)))</f>
        <v>168.26923076923077</v>
      </c>
      <c r="BC41" s="9">
        <f>SUM(AR41:BB41)</f>
        <v>3775.9615384615386</v>
      </c>
      <c r="BD41">
        <f>BC41*4.2</f>
        <v>15859.038461538463</v>
      </c>
      <c r="BE41">
        <f t="shared" si="2"/>
        <v>31718.076923076926</v>
      </c>
      <c r="BF41">
        <f>IF(AE41=1,$BK$1,$BL$1)</f>
        <v>9230</v>
      </c>
      <c r="BG41">
        <f>BF41-BD41</f>
        <v>-6629.0384615384628</v>
      </c>
      <c r="BH41">
        <f>(H41-BC41)*4.2</f>
        <v>68140.961538461532</v>
      </c>
    </row>
    <row r="42" spans="1:60" x14ac:dyDescent="0.3">
      <c r="AU42" s="7"/>
      <c r="AV42" s="7"/>
      <c r="AW42" s="7"/>
      <c r="AX42" s="7"/>
      <c r="AY42" s="7"/>
      <c r="AZ42" s="7"/>
      <c r="BA42" s="7"/>
      <c r="BB42" s="7"/>
      <c r="BC42" s="7"/>
      <c r="BD42" s="7"/>
      <c r="BF42" s="9"/>
    </row>
    <row r="43" spans="1:60" x14ac:dyDescent="0.3">
      <c r="AU43" s="7"/>
      <c r="AV43" s="7"/>
      <c r="AW43" s="7"/>
      <c r="AX43" s="7"/>
      <c r="AY43" s="7"/>
      <c r="AZ43" s="7"/>
      <c r="BA43" s="7"/>
      <c r="BB43" s="7"/>
      <c r="BC43" s="7"/>
      <c r="BD43" s="7"/>
    </row>
    <row r="44" spans="1:60" x14ac:dyDescent="0.3">
      <c r="AU44" s="7"/>
      <c r="AV44" s="7"/>
      <c r="AW44" s="7"/>
      <c r="AX44" s="7"/>
      <c r="AY44" s="7"/>
      <c r="AZ44" s="7"/>
      <c r="BA44" s="7"/>
      <c r="BB44" s="7"/>
      <c r="BC44" s="7"/>
      <c r="BD44" s="7"/>
    </row>
    <row r="45" spans="1:60" x14ac:dyDescent="0.3">
      <c r="AU45" s="7"/>
      <c r="AV45" s="7"/>
      <c r="AW45" s="7"/>
      <c r="AX45" s="7"/>
      <c r="AY45" s="7"/>
      <c r="AZ45" s="7"/>
      <c r="BA45" s="7"/>
      <c r="BB45" s="7"/>
      <c r="BC45" s="7"/>
      <c r="BD45" s="7"/>
    </row>
    <row r="46" spans="1:60" x14ac:dyDescent="0.3">
      <c r="AU46" s="7"/>
      <c r="AV46" s="7"/>
      <c r="AW46" s="7"/>
      <c r="AX46" s="7"/>
      <c r="AY46" s="7"/>
      <c r="AZ46" s="7"/>
      <c r="BA46" s="7"/>
      <c r="BB46" s="7"/>
      <c r="BC46" s="7"/>
      <c r="BD46" s="7"/>
    </row>
    <row r="47" spans="1:60" x14ac:dyDescent="0.3">
      <c r="AU47" s="7"/>
      <c r="AV47" s="7"/>
      <c r="AW47" s="7"/>
      <c r="AX47" s="7"/>
      <c r="AY47" s="7"/>
      <c r="AZ47" s="7"/>
      <c r="BA47" s="7"/>
      <c r="BB47" s="7"/>
      <c r="BC47" s="7"/>
      <c r="BD4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topLeftCell="D1" workbookViewId="0">
      <selection activeCell="K2" sqref="K2:V2"/>
    </sheetView>
  </sheetViews>
  <sheetFormatPr defaultRowHeight="14.4" x14ac:dyDescent="0.3"/>
  <sheetData>
    <row r="1" spans="1:22" ht="52.2" customHeight="1" thickBot="1" x14ac:dyDescent="0.35">
      <c r="A1" s="18" t="s">
        <v>134</v>
      </c>
      <c r="B1" s="20" t="s">
        <v>135</v>
      </c>
      <c r="C1" s="21"/>
      <c r="D1" s="21"/>
      <c r="E1" s="22"/>
      <c r="F1" s="18" t="s">
        <v>136</v>
      </c>
    </row>
    <row r="2" spans="1:22" ht="58.2" thickBot="1" x14ac:dyDescent="0.35">
      <c r="A2" s="19"/>
      <c r="B2" s="10" t="s">
        <v>137</v>
      </c>
      <c r="C2" s="11" t="s">
        <v>138</v>
      </c>
      <c r="D2" s="11" t="s">
        <v>139</v>
      </c>
      <c r="E2" s="11" t="s">
        <v>140</v>
      </c>
      <c r="F2" s="19"/>
      <c r="K2" s="4" t="s">
        <v>116</v>
      </c>
      <c r="L2" s="5" t="s">
        <v>118</v>
      </c>
      <c r="M2" s="5" t="s">
        <v>119</v>
      </c>
      <c r="N2" s="5" t="s">
        <v>120</v>
      </c>
      <c r="O2" s="5" t="s">
        <v>121</v>
      </c>
      <c r="P2" s="5" t="s">
        <v>122</v>
      </c>
      <c r="Q2" s="5" t="s">
        <v>108</v>
      </c>
      <c r="R2" s="5" t="s">
        <v>123</v>
      </c>
      <c r="S2" s="5" t="s">
        <v>124</v>
      </c>
      <c r="T2" s="5" t="s">
        <v>106</v>
      </c>
      <c r="U2" s="5" t="s">
        <v>125</v>
      </c>
      <c r="V2" s="5" t="s">
        <v>126</v>
      </c>
    </row>
    <row r="3" spans="1:22" ht="130.19999999999999" thickBot="1" x14ac:dyDescent="0.35">
      <c r="A3" s="12" t="s">
        <v>127</v>
      </c>
      <c r="B3" s="13">
        <v>23908</v>
      </c>
      <c r="C3" s="13">
        <v>27302</v>
      </c>
      <c r="D3" s="13">
        <v>17897</v>
      </c>
      <c r="E3" s="13">
        <v>20663</v>
      </c>
      <c r="F3" s="14" t="s">
        <v>141</v>
      </c>
      <c r="I3" s="2">
        <f>MEDIAN(I4:I87)</f>
        <v>18459</v>
      </c>
    </row>
    <row r="4" spans="1:22" ht="159" thickBot="1" x14ac:dyDescent="0.35">
      <c r="A4" s="12" t="s">
        <v>142</v>
      </c>
      <c r="B4" s="13">
        <v>19302</v>
      </c>
      <c r="C4" s="13">
        <v>21039</v>
      </c>
      <c r="D4" s="13">
        <v>16600</v>
      </c>
      <c r="E4" s="13">
        <v>18723</v>
      </c>
      <c r="F4" s="14" t="s">
        <v>143</v>
      </c>
      <c r="I4" s="2">
        <v>21039</v>
      </c>
    </row>
    <row r="5" spans="1:22" ht="130.19999999999999" thickBot="1" x14ac:dyDescent="0.35">
      <c r="A5" s="12" t="s">
        <v>144</v>
      </c>
      <c r="B5" s="13">
        <v>19329</v>
      </c>
      <c r="C5" s="13">
        <v>21069</v>
      </c>
      <c r="D5" s="13">
        <v>16623</v>
      </c>
      <c r="E5" s="13">
        <v>18749</v>
      </c>
      <c r="F5" s="14" t="s">
        <v>145</v>
      </c>
      <c r="I5" s="2">
        <v>21069</v>
      </c>
    </row>
    <row r="6" spans="1:22" ht="144.6" thickBot="1" x14ac:dyDescent="0.35">
      <c r="A6" s="12" t="s">
        <v>146</v>
      </c>
      <c r="B6" s="13">
        <v>18974</v>
      </c>
      <c r="C6" s="13">
        <v>20682</v>
      </c>
      <c r="D6" s="13">
        <v>16318</v>
      </c>
      <c r="E6" s="11" t="s">
        <v>147</v>
      </c>
      <c r="F6" s="14" t="s">
        <v>148</v>
      </c>
      <c r="I6" s="2">
        <v>20682</v>
      </c>
    </row>
    <row r="7" spans="1:22" ht="159" thickBot="1" x14ac:dyDescent="0.35">
      <c r="A7" s="12" t="s">
        <v>149</v>
      </c>
      <c r="B7" s="13">
        <v>15250</v>
      </c>
      <c r="C7" s="13">
        <v>16623</v>
      </c>
      <c r="D7" s="13">
        <v>13115</v>
      </c>
      <c r="E7" s="13">
        <v>14793</v>
      </c>
      <c r="F7" s="14" t="s">
        <v>150</v>
      </c>
      <c r="I7" s="2">
        <v>16623</v>
      </c>
    </row>
    <row r="8" spans="1:22" ht="130.19999999999999" thickBot="1" x14ac:dyDescent="0.35">
      <c r="A8" s="12" t="s">
        <v>151</v>
      </c>
      <c r="B8" s="13">
        <v>16846</v>
      </c>
      <c r="C8" s="13">
        <v>18362</v>
      </c>
      <c r="D8" s="13">
        <v>14488</v>
      </c>
      <c r="E8" s="13">
        <v>16341</v>
      </c>
      <c r="F8" s="14" t="s">
        <v>152</v>
      </c>
      <c r="I8" s="2">
        <v>18362</v>
      </c>
    </row>
    <row r="9" spans="1:22" ht="144.6" thickBot="1" x14ac:dyDescent="0.35">
      <c r="A9" s="12" t="s">
        <v>153</v>
      </c>
      <c r="B9" s="13">
        <v>15782</v>
      </c>
      <c r="C9" s="13">
        <v>17202</v>
      </c>
      <c r="D9" s="13">
        <v>13573</v>
      </c>
      <c r="E9" s="13">
        <v>15309</v>
      </c>
      <c r="F9" s="14" t="s">
        <v>154</v>
      </c>
      <c r="I9" s="2">
        <v>17202</v>
      </c>
    </row>
    <row r="10" spans="1:22" ht="144.6" thickBot="1" x14ac:dyDescent="0.35">
      <c r="A10" s="12" t="s">
        <v>155</v>
      </c>
      <c r="B10" s="13">
        <v>19329</v>
      </c>
      <c r="C10" s="13">
        <v>21069</v>
      </c>
      <c r="D10" s="13">
        <v>16623</v>
      </c>
      <c r="E10" s="13">
        <v>18749</v>
      </c>
      <c r="F10" s="14" t="s">
        <v>156</v>
      </c>
      <c r="I10" s="2">
        <v>21069</v>
      </c>
    </row>
    <row r="11" spans="1:22" ht="144.6" thickBot="1" x14ac:dyDescent="0.35">
      <c r="A11" s="12" t="s">
        <v>157</v>
      </c>
      <c r="B11" s="13">
        <v>16137</v>
      </c>
      <c r="C11" s="13">
        <v>17589</v>
      </c>
      <c r="D11" s="13">
        <v>13878</v>
      </c>
      <c r="E11" s="13">
        <v>15653</v>
      </c>
      <c r="F11" s="14" t="s">
        <v>158</v>
      </c>
      <c r="I11" s="2">
        <v>17589</v>
      </c>
    </row>
    <row r="12" spans="1:22" ht="144.6" thickBot="1" x14ac:dyDescent="0.35">
      <c r="A12" s="12" t="s">
        <v>159</v>
      </c>
      <c r="B12" s="13">
        <v>16669</v>
      </c>
      <c r="C12" s="13">
        <v>18169</v>
      </c>
      <c r="D12" s="13">
        <v>14335</v>
      </c>
      <c r="E12" s="13">
        <v>16169</v>
      </c>
      <c r="F12" s="14" t="s">
        <v>160</v>
      </c>
      <c r="I12" s="2">
        <v>18169</v>
      </c>
    </row>
    <row r="13" spans="1:22" ht="187.8" thickBot="1" x14ac:dyDescent="0.35">
      <c r="A13" s="12" t="s">
        <v>161</v>
      </c>
      <c r="B13" s="13">
        <v>18974</v>
      </c>
      <c r="C13" s="13">
        <v>20682</v>
      </c>
      <c r="D13" s="13">
        <v>16318</v>
      </c>
      <c r="E13" s="13">
        <v>18405</v>
      </c>
      <c r="F13" s="14" t="s">
        <v>162</v>
      </c>
      <c r="I13" s="2">
        <v>20682</v>
      </c>
    </row>
    <row r="14" spans="1:22" ht="144.6" thickBot="1" x14ac:dyDescent="0.35">
      <c r="A14" s="12" t="s">
        <v>163</v>
      </c>
      <c r="B14" s="13">
        <v>17378</v>
      </c>
      <c r="C14" s="13">
        <v>18942</v>
      </c>
      <c r="D14" s="13">
        <v>14945</v>
      </c>
      <c r="E14" s="13">
        <v>16857</v>
      </c>
      <c r="F14" s="14" t="s">
        <v>164</v>
      </c>
      <c r="I14" s="2">
        <v>18942</v>
      </c>
    </row>
    <row r="15" spans="1:22" ht="173.4" thickBot="1" x14ac:dyDescent="0.35">
      <c r="A15" s="12" t="s">
        <v>165</v>
      </c>
      <c r="B15" s="13">
        <v>16669</v>
      </c>
      <c r="C15" s="13">
        <v>18169</v>
      </c>
      <c r="D15" s="13">
        <v>14335</v>
      </c>
      <c r="E15" s="13">
        <v>16169</v>
      </c>
      <c r="F15" s="14" t="s">
        <v>166</v>
      </c>
      <c r="I15" s="2">
        <v>18169</v>
      </c>
    </row>
    <row r="16" spans="1:22" ht="159" thickBot="1" x14ac:dyDescent="0.35">
      <c r="A16" s="12" t="s">
        <v>167</v>
      </c>
      <c r="B16" s="15" t="s">
        <v>168</v>
      </c>
      <c r="C16" s="15" t="s">
        <v>169</v>
      </c>
      <c r="D16" s="15" t="s">
        <v>170</v>
      </c>
      <c r="E16" s="15" t="s">
        <v>171</v>
      </c>
      <c r="F16" s="14" t="s">
        <v>172</v>
      </c>
      <c r="I16" t="s">
        <v>169</v>
      </c>
    </row>
    <row r="17" spans="1:9" ht="130.19999999999999" thickBot="1" x14ac:dyDescent="0.35">
      <c r="A17" s="12" t="s">
        <v>173</v>
      </c>
      <c r="B17" s="15" t="s">
        <v>174</v>
      </c>
      <c r="C17" s="15" t="s">
        <v>175</v>
      </c>
      <c r="D17" s="15" t="s">
        <v>176</v>
      </c>
      <c r="E17" s="15" t="s">
        <v>177</v>
      </c>
      <c r="F17" s="14" t="s">
        <v>178</v>
      </c>
      <c r="I17" t="s">
        <v>175</v>
      </c>
    </row>
    <row r="18" spans="1:9" ht="144.6" thickBot="1" x14ac:dyDescent="0.35">
      <c r="A18" s="12" t="s">
        <v>179</v>
      </c>
      <c r="B18" s="13">
        <v>17201</v>
      </c>
      <c r="C18" s="13">
        <v>18749</v>
      </c>
      <c r="D18" s="13">
        <v>14793</v>
      </c>
      <c r="E18" s="13">
        <v>16685</v>
      </c>
      <c r="F18" s="14" t="s">
        <v>180</v>
      </c>
      <c r="I18" s="2">
        <v>18749</v>
      </c>
    </row>
    <row r="19" spans="1:9" ht="144.6" thickBot="1" x14ac:dyDescent="0.35">
      <c r="A19" s="12" t="s">
        <v>181</v>
      </c>
      <c r="B19" s="13">
        <v>15605</v>
      </c>
      <c r="C19" s="13">
        <v>17009</v>
      </c>
      <c r="D19" s="13">
        <v>13420</v>
      </c>
      <c r="E19" s="13">
        <v>15137</v>
      </c>
      <c r="F19" s="14" t="s">
        <v>182</v>
      </c>
      <c r="I19" s="2">
        <v>17009</v>
      </c>
    </row>
    <row r="20" spans="1:9" ht="144.6" thickBot="1" x14ac:dyDescent="0.35">
      <c r="A20" s="12" t="s">
        <v>183</v>
      </c>
      <c r="B20" s="13">
        <v>15073</v>
      </c>
      <c r="C20" s="13">
        <v>16430</v>
      </c>
      <c r="D20" s="13">
        <v>12963</v>
      </c>
      <c r="E20" s="13">
        <v>14621</v>
      </c>
      <c r="F20" s="14" t="s">
        <v>184</v>
      </c>
      <c r="I20" s="2">
        <v>16430</v>
      </c>
    </row>
    <row r="21" spans="1:9" ht="159" thickBot="1" x14ac:dyDescent="0.35">
      <c r="A21" s="12" t="s">
        <v>185</v>
      </c>
      <c r="B21" s="15" t="s">
        <v>186</v>
      </c>
      <c r="C21" s="15" t="s">
        <v>187</v>
      </c>
      <c r="D21" s="15" t="s">
        <v>188</v>
      </c>
      <c r="E21" s="15" t="s">
        <v>189</v>
      </c>
      <c r="F21" s="14" t="s">
        <v>190</v>
      </c>
      <c r="I21" t="s">
        <v>187</v>
      </c>
    </row>
    <row r="22" spans="1:9" ht="187.8" thickBot="1" x14ac:dyDescent="0.35">
      <c r="A22" s="12" t="s">
        <v>191</v>
      </c>
      <c r="B22" s="13">
        <v>15960</v>
      </c>
      <c r="C22" s="13">
        <v>17396</v>
      </c>
      <c r="D22" s="13">
        <v>13726</v>
      </c>
      <c r="E22" s="13">
        <v>15481</v>
      </c>
      <c r="F22" s="14" t="s">
        <v>192</v>
      </c>
      <c r="I22" s="2">
        <v>17396</v>
      </c>
    </row>
    <row r="23" spans="1:9" ht="159" thickBot="1" x14ac:dyDescent="0.35">
      <c r="A23" s="12" t="s">
        <v>193</v>
      </c>
      <c r="B23" s="13">
        <v>15073</v>
      </c>
      <c r="C23" s="13">
        <v>16430</v>
      </c>
      <c r="D23" s="13">
        <v>12963</v>
      </c>
      <c r="E23" s="13">
        <v>14621</v>
      </c>
      <c r="F23" s="14" t="s">
        <v>194</v>
      </c>
      <c r="I23" s="2">
        <v>16430</v>
      </c>
    </row>
    <row r="24" spans="1:9" ht="130.19999999999999" thickBot="1" x14ac:dyDescent="0.35">
      <c r="A24" s="12" t="s">
        <v>195</v>
      </c>
      <c r="B24" s="13">
        <v>17910</v>
      </c>
      <c r="C24" s="13">
        <v>19522</v>
      </c>
      <c r="D24" s="13">
        <v>15403</v>
      </c>
      <c r="E24" s="13">
        <v>17373</v>
      </c>
      <c r="F24" s="14" t="s">
        <v>196</v>
      </c>
      <c r="I24" s="2">
        <v>19522</v>
      </c>
    </row>
    <row r="25" spans="1:9" ht="144.6" thickBot="1" x14ac:dyDescent="0.35">
      <c r="A25" s="12" t="s">
        <v>197</v>
      </c>
      <c r="B25" s="13">
        <v>15782</v>
      </c>
      <c r="C25" s="13">
        <v>17202</v>
      </c>
      <c r="D25" s="13">
        <v>13573</v>
      </c>
      <c r="E25" s="13">
        <v>15309</v>
      </c>
      <c r="F25" s="14" t="s">
        <v>198</v>
      </c>
      <c r="I25" s="2">
        <v>17202</v>
      </c>
    </row>
    <row r="26" spans="1:9" ht="144.6" thickBot="1" x14ac:dyDescent="0.35">
      <c r="A26" s="12" t="s">
        <v>199</v>
      </c>
      <c r="B26" s="13">
        <v>18088</v>
      </c>
      <c r="C26" s="13">
        <v>19716</v>
      </c>
      <c r="D26" s="13">
        <v>15556</v>
      </c>
      <c r="E26" s="13">
        <v>17545</v>
      </c>
      <c r="F26" s="14" t="s">
        <v>200</v>
      </c>
      <c r="I26" s="2">
        <v>19716</v>
      </c>
    </row>
    <row r="27" spans="1:9" ht="144.6" thickBot="1" x14ac:dyDescent="0.35">
      <c r="A27" s="12" t="s">
        <v>201</v>
      </c>
      <c r="B27" s="13">
        <v>17024</v>
      </c>
      <c r="C27" s="13">
        <v>18556</v>
      </c>
      <c r="D27" s="13">
        <v>14641</v>
      </c>
      <c r="E27" s="13">
        <v>16513</v>
      </c>
      <c r="F27" s="14" t="s">
        <v>202</v>
      </c>
      <c r="I27" s="2">
        <v>18556</v>
      </c>
    </row>
    <row r="28" spans="1:9" ht="159" thickBot="1" x14ac:dyDescent="0.35">
      <c r="A28" s="12" t="s">
        <v>203</v>
      </c>
      <c r="B28" s="13">
        <v>15428</v>
      </c>
      <c r="C28" s="13">
        <v>16817</v>
      </c>
      <c r="D28" s="13">
        <v>13268</v>
      </c>
      <c r="E28" s="13">
        <v>14965</v>
      </c>
      <c r="F28" s="14" t="s">
        <v>204</v>
      </c>
      <c r="I28" s="2">
        <v>16817</v>
      </c>
    </row>
    <row r="29" spans="1:9" ht="130.19999999999999" thickBot="1" x14ac:dyDescent="0.35">
      <c r="A29" s="12" t="s">
        <v>205</v>
      </c>
      <c r="B29" s="13">
        <v>15782</v>
      </c>
      <c r="C29" s="13">
        <v>17202</v>
      </c>
      <c r="D29" s="13">
        <v>13573</v>
      </c>
      <c r="E29" s="13">
        <v>15309</v>
      </c>
      <c r="F29" s="14" t="s">
        <v>206</v>
      </c>
      <c r="I29" s="2">
        <v>17202</v>
      </c>
    </row>
    <row r="30" spans="1:9" ht="130.19999999999999" thickBot="1" x14ac:dyDescent="0.35">
      <c r="A30" s="12" t="s">
        <v>207</v>
      </c>
      <c r="B30" s="13">
        <v>20748</v>
      </c>
      <c r="C30" s="13">
        <v>22615</v>
      </c>
      <c r="D30" s="13">
        <v>17843</v>
      </c>
      <c r="E30" s="13">
        <v>20126</v>
      </c>
      <c r="F30" s="14" t="s">
        <v>208</v>
      </c>
      <c r="I30" s="2">
        <v>22615</v>
      </c>
    </row>
    <row r="31" spans="1:9" ht="144.6" thickBot="1" x14ac:dyDescent="0.35">
      <c r="A31" s="12" t="s">
        <v>209</v>
      </c>
      <c r="B31" s="13">
        <v>31210</v>
      </c>
      <c r="C31" s="13">
        <v>34019</v>
      </c>
      <c r="D31" s="13">
        <v>26841</v>
      </c>
      <c r="E31" s="13">
        <v>30692</v>
      </c>
      <c r="F31" s="14" t="s">
        <v>210</v>
      </c>
      <c r="I31" s="2">
        <v>34019</v>
      </c>
    </row>
    <row r="32" spans="1:9" ht="130.19999999999999" thickBot="1" x14ac:dyDescent="0.35">
      <c r="A32" s="12" t="s">
        <v>211</v>
      </c>
      <c r="B32" s="13">
        <v>17024</v>
      </c>
      <c r="C32" s="13">
        <v>18556</v>
      </c>
      <c r="D32" s="13">
        <v>14641</v>
      </c>
      <c r="E32" s="13">
        <v>16513</v>
      </c>
      <c r="F32" s="14" t="s">
        <v>212</v>
      </c>
      <c r="I32" s="2">
        <v>18556</v>
      </c>
    </row>
    <row r="33" spans="1:9" ht="144.6" thickBot="1" x14ac:dyDescent="0.35">
      <c r="A33" s="12" t="s">
        <v>213</v>
      </c>
      <c r="B33" s="15" t="s">
        <v>214</v>
      </c>
      <c r="C33" s="15" t="s">
        <v>169</v>
      </c>
      <c r="D33" s="15" t="s">
        <v>170</v>
      </c>
      <c r="E33" s="15" t="s">
        <v>171</v>
      </c>
      <c r="F33" s="14" t="s">
        <v>215</v>
      </c>
      <c r="I33" t="s">
        <v>169</v>
      </c>
    </row>
    <row r="34" spans="1:9" ht="144.6" thickBot="1" x14ac:dyDescent="0.35">
      <c r="A34" s="12" t="s">
        <v>216</v>
      </c>
      <c r="B34" s="13">
        <v>16314</v>
      </c>
      <c r="C34" s="13">
        <v>17782</v>
      </c>
      <c r="D34" s="13">
        <v>14030</v>
      </c>
      <c r="E34" s="13">
        <v>15825</v>
      </c>
      <c r="F34" s="14" t="s">
        <v>217</v>
      </c>
      <c r="I34" s="2">
        <v>17782</v>
      </c>
    </row>
    <row r="35" spans="1:9" ht="144.6" thickBot="1" x14ac:dyDescent="0.35">
      <c r="A35" s="12" t="s">
        <v>218</v>
      </c>
      <c r="B35" s="13">
        <v>21102</v>
      </c>
      <c r="C35" s="13">
        <v>23001</v>
      </c>
      <c r="D35" s="13">
        <v>18148</v>
      </c>
      <c r="E35" s="13">
        <v>20469</v>
      </c>
      <c r="F35" s="14" t="s">
        <v>219</v>
      </c>
      <c r="I35" s="2">
        <v>23001</v>
      </c>
    </row>
    <row r="36" spans="1:9" ht="144.6" thickBot="1" x14ac:dyDescent="0.35">
      <c r="A36" s="12" t="s">
        <v>220</v>
      </c>
      <c r="B36" s="13">
        <v>15960</v>
      </c>
      <c r="C36" s="13">
        <v>17396</v>
      </c>
      <c r="D36" s="13">
        <v>13726</v>
      </c>
      <c r="E36" s="13">
        <v>15481</v>
      </c>
      <c r="F36" s="14" t="s">
        <v>221</v>
      </c>
      <c r="I36" s="2">
        <v>17396</v>
      </c>
    </row>
    <row r="37" spans="1:9" ht="144.6" thickBot="1" x14ac:dyDescent="0.35">
      <c r="A37" s="12" t="s">
        <v>222</v>
      </c>
      <c r="B37" s="13">
        <v>21634</v>
      </c>
      <c r="C37" s="13">
        <v>23581</v>
      </c>
      <c r="D37" s="13">
        <v>18605</v>
      </c>
      <c r="E37" s="13">
        <v>22844</v>
      </c>
      <c r="F37" s="14" t="s">
        <v>223</v>
      </c>
      <c r="I37" s="2">
        <v>23581</v>
      </c>
    </row>
    <row r="38" spans="1:9" ht="144.6" thickBot="1" x14ac:dyDescent="0.35">
      <c r="A38" s="12" t="s">
        <v>224</v>
      </c>
      <c r="B38" s="15" t="s">
        <v>174</v>
      </c>
      <c r="C38" s="15" t="s">
        <v>175</v>
      </c>
      <c r="D38" s="15" t="s">
        <v>176</v>
      </c>
      <c r="E38" s="15" t="s">
        <v>225</v>
      </c>
      <c r="F38" s="14" t="s">
        <v>226</v>
      </c>
      <c r="I38" t="s">
        <v>175</v>
      </c>
    </row>
    <row r="39" spans="1:9" ht="159" thickBot="1" x14ac:dyDescent="0.35">
      <c r="A39" s="12" t="s">
        <v>227</v>
      </c>
      <c r="B39" s="15" t="s">
        <v>228</v>
      </c>
      <c r="C39" s="15" t="s">
        <v>229</v>
      </c>
      <c r="D39" s="15" t="s">
        <v>230</v>
      </c>
      <c r="E39" s="15" t="s">
        <v>231</v>
      </c>
      <c r="F39" s="14" t="s">
        <v>232</v>
      </c>
      <c r="I39" t="s">
        <v>229</v>
      </c>
    </row>
    <row r="40" spans="1:9" ht="159" thickBot="1" x14ac:dyDescent="0.35">
      <c r="A40" s="12" t="s">
        <v>233</v>
      </c>
      <c r="B40" s="13">
        <v>17201</v>
      </c>
      <c r="C40" s="13">
        <v>18749</v>
      </c>
      <c r="D40" s="13">
        <v>14793</v>
      </c>
      <c r="E40" s="13">
        <v>16685</v>
      </c>
      <c r="F40" s="14" t="s">
        <v>234</v>
      </c>
      <c r="I40" s="2">
        <v>18749</v>
      </c>
    </row>
    <row r="41" spans="1:9" ht="159" thickBot="1" x14ac:dyDescent="0.35">
      <c r="A41" s="12" t="s">
        <v>235</v>
      </c>
      <c r="B41" s="13">
        <v>14896</v>
      </c>
      <c r="C41" s="13">
        <v>16237</v>
      </c>
      <c r="D41" s="13">
        <v>12811</v>
      </c>
      <c r="E41" s="13">
        <v>14449</v>
      </c>
      <c r="F41" s="14" t="s">
        <v>236</v>
      </c>
      <c r="I41" s="2">
        <v>16237</v>
      </c>
    </row>
    <row r="42" spans="1:9" ht="159" thickBot="1" x14ac:dyDescent="0.35">
      <c r="A42" s="12" t="s">
        <v>237</v>
      </c>
      <c r="B42" s="13">
        <v>16314</v>
      </c>
      <c r="C42" s="13">
        <v>17782</v>
      </c>
      <c r="D42" s="13">
        <v>14030</v>
      </c>
      <c r="E42" s="13">
        <v>15825</v>
      </c>
      <c r="F42" s="14" t="s">
        <v>238</v>
      </c>
      <c r="I42" s="2">
        <v>17782</v>
      </c>
    </row>
    <row r="43" spans="1:9" ht="144.6" thickBot="1" x14ac:dyDescent="0.35">
      <c r="A43" s="12" t="s">
        <v>239</v>
      </c>
      <c r="B43" s="13">
        <v>17201</v>
      </c>
      <c r="C43" s="13">
        <v>18749</v>
      </c>
      <c r="D43" s="13">
        <v>14793</v>
      </c>
      <c r="E43" s="13">
        <v>16685</v>
      </c>
      <c r="F43" s="14" t="s">
        <v>240</v>
      </c>
      <c r="I43" s="2">
        <v>18749</v>
      </c>
    </row>
    <row r="44" spans="1:9" ht="159" thickBot="1" x14ac:dyDescent="0.35">
      <c r="A44" s="12" t="s">
        <v>241</v>
      </c>
      <c r="B44" s="13">
        <v>15250</v>
      </c>
      <c r="C44" s="13">
        <v>16623</v>
      </c>
      <c r="D44" s="13">
        <v>13115</v>
      </c>
      <c r="E44" s="13">
        <v>14793</v>
      </c>
      <c r="F44" s="14" t="s">
        <v>242</v>
      </c>
      <c r="I44" s="2">
        <v>16623</v>
      </c>
    </row>
    <row r="45" spans="1:9" ht="159" thickBot="1" x14ac:dyDescent="0.35">
      <c r="A45" s="12" t="s">
        <v>243</v>
      </c>
      <c r="B45" s="13">
        <v>17910</v>
      </c>
      <c r="C45" s="13">
        <v>19522</v>
      </c>
      <c r="D45" s="13">
        <v>15403</v>
      </c>
      <c r="E45" s="13">
        <v>17373</v>
      </c>
      <c r="F45" s="14" t="s">
        <v>244</v>
      </c>
      <c r="I45" s="2">
        <v>19522</v>
      </c>
    </row>
    <row r="46" spans="1:9" ht="144.6" thickBot="1" x14ac:dyDescent="0.35">
      <c r="A46" s="12" t="s">
        <v>245</v>
      </c>
      <c r="B46" s="13">
        <v>15605</v>
      </c>
      <c r="C46" s="13">
        <v>17009</v>
      </c>
      <c r="D46" s="13">
        <v>13420</v>
      </c>
      <c r="E46" s="13">
        <v>15137</v>
      </c>
      <c r="F46" s="14" t="s">
        <v>246</v>
      </c>
      <c r="I46" s="2">
        <v>17009</v>
      </c>
    </row>
    <row r="47" spans="1:9" ht="159" thickBot="1" x14ac:dyDescent="0.35">
      <c r="A47" s="12" t="s">
        <v>247</v>
      </c>
      <c r="B47" s="13">
        <v>16669</v>
      </c>
      <c r="C47" s="13">
        <v>18169</v>
      </c>
      <c r="D47" s="13">
        <v>14335</v>
      </c>
      <c r="E47" s="13">
        <v>16169</v>
      </c>
      <c r="F47" s="14" t="s">
        <v>248</v>
      </c>
      <c r="I47" s="2">
        <v>18169</v>
      </c>
    </row>
    <row r="48" spans="1:9" ht="159" thickBot="1" x14ac:dyDescent="0.35">
      <c r="A48" s="12" t="s">
        <v>249</v>
      </c>
      <c r="B48" s="15" t="s">
        <v>250</v>
      </c>
      <c r="C48" s="15" t="s">
        <v>251</v>
      </c>
      <c r="D48" s="15" t="s">
        <v>252</v>
      </c>
      <c r="E48" s="15" t="s">
        <v>253</v>
      </c>
      <c r="F48" s="14" t="s">
        <v>254</v>
      </c>
      <c r="I48" t="s">
        <v>251</v>
      </c>
    </row>
    <row r="49" spans="1:9" ht="159" thickBot="1" x14ac:dyDescent="0.35">
      <c r="A49" s="12" t="s">
        <v>255</v>
      </c>
      <c r="B49" s="13">
        <v>18265</v>
      </c>
      <c r="C49" s="13">
        <v>19909</v>
      </c>
      <c r="D49" s="13">
        <v>15708</v>
      </c>
      <c r="E49" s="13">
        <v>17717</v>
      </c>
      <c r="F49" s="14" t="s">
        <v>256</v>
      </c>
      <c r="I49" s="2">
        <v>19909</v>
      </c>
    </row>
    <row r="50" spans="1:9" ht="144.6" thickBot="1" x14ac:dyDescent="0.35">
      <c r="A50" s="12" t="s">
        <v>257</v>
      </c>
      <c r="B50" s="13">
        <v>17024</v>
      </c>
      <c r="C50" s="13">
        <v>18556</v>
      </c>
      <c r="D50" s="13">
        <v>14641</v>
      </c>
      <c r="E50" s="13">
        <v>16513</v>
      </c>
      <c r="F50" s="14" t="s">
        <v>258</v>
      </c>
      <c r="I50" s="2">
        <v>18556</v>
      </c>
    </row>
    <row r="51" spans="1:9" ht="173.4" thickBot="1" x14ac:dyDescent="0.35">
      <c r="A51" s="12" t="s">
        <v>259</v>
      </c>
      <c r="B51" s="13">
        <v>16137</v>
      </c>
      <c r="C51" s="13">
        <v>17589</v>
      </c>
      <c r="D51" s="13">
        <v>13878</v>
      </c>
      <c r="E51" s="13">
        <v>15653</v>
      </c>
      <c r="F51" s="14" t="s">
        <v>260</v>
      </c>
      <c r="I51" s="2">
        <v>17589</v>
      </c>
    </row>
    <row r="52" spans="1:9" ht="159" thickBot="1" x14ac:dyDescent="0.35">
      <c r="A52" s="12" t="s">
        <v>261</v>
      </c>
      <c r="B52" s="13">
        <v>15782</v>
      </c>
      <c r="C52" s="13">
        <v>17202</v>
      </c>
      <c r="D52" s="13">
        <v>13573</v>
      </c>
      <c r="E52" s="13">
        <v>15309</v>
      </c>
      <c r="F52" s="14" t="s">
        <v>262</v>
      </c>
      <c r="I52" s="2">
        <v>17202</v>
      </c>
    </row>
    <row r="53" spans="1:9" ht="159" thickBot="1" x14ac:dyDescent="0.35">
      <c r="A53" s="12" t="s">
        <v>263</v>
      </c>
      <c r="B53" s="13">
        <v>16314</v>
      </c>
      <c r="C53" s="13">
        <v>17782</v>
      </c>
      <c r="D53" s="13">
        <v>14030</v>
      </c>
      <c r="E53" s="13">
        <v>15825</v>
      </c>
      <c r="F53" s="14" t="s">
        <v>264</v>
      </c>
      <c r="I53" s="2">
        <v>17782</v>
      </c>
    </row>
    <row r="54" spans="1:9" ht="144.6" thickBot="1" x14ac:dyDescent="0.35">
      <c r="A54" s="12" t="s">
        <v>265</v>
      </c>
      <c r="B54" s="13">
        <v>16669</v>
      </c>
      <c r="C54" s="13">
        <v>18169</v>
      </c>
      <c r="D54" s="13">
        <v>14335</v>
      </c>
      <c r="E54" s="13">
        <v>16169</v>
      </c>
      <c r="F54" s="14" t="s">
        <v>266</v>
      </c>
      <c r="I54" s="2">
        <v>18169</v>
      </c>
    </row>
    <row r="55" spans="1:9" ht="144.6" thickBot="1" x14ac:dyDescent="0.35">
      <c r="A55" s="12" t="s">
        <v>267</v>
      </c>
      <c r="B55" s="13">
        <v>15428</v>
      </c>
      <c r="C55" s="13">
        <v>16817</v>
      </c>
      <c r="D55" s="13">
        <v>13268</v>
      </c>
      <c r="E55" s="13">
        <v>14965</v>
      </c>
      <c r="F55" s="14" t="s">
        <v>268</v>
      </c>
      <c r="I55" s="2">
        <v>16817</v>
      </c>
    </row>
    <row r="56" spans="1:9" ht="144.6" thickBot="1" x14ac:dyDescent="0.35">
      <c r="A56" s="12" t="s">
        <v>269</v>
      </c>
      <c r="B56" s="13">
        <v>14718</v>
      </c>
      <c r="C56" s="13">
        <v>16043</v>
      </c>
      <c r="D56" s="13">
        <v>12657</v>
      </c>
      <c r="E56" s="13">
        <v>14276</v>
      </c>
      <c r="F56" s="14" t="s">
        <v>270</v>
      </c>
      <c r="I56" s="2">
        <v>16043</v>
      </c>
    </row>
    <row r="57" spans="1:9" ht="159" thickBot="1" x14ac:dyDescent="0.35">
      <c r="A57" s="12" t="s">
        <v>271</v>
      </c>
      <c r="B57" s="13">
        <v>30855</v>
      </c>
      <c r="C57" s="13">
        <v>33632</v>
      </c>
      <c r="D57" s="13">
        <v>26535</v>
      </c>
      <c r="E57" s="13">
        <v>30829</v>
      </c>
      <c r="F57" s="14" t="s">
        <v>272</v>
      </c>
      <c r="I57" s="2">
        <v>33632</v>
      </c>
    </row>
    <row r="58" spans="1:9" ht="159" thickBot="1" x14ac:dyDescent="0.35">
      <c r="A58" s="12" t="s">
        <v>273</v>
      </c>
      <c r="B58" s="13">
        <v>25390</v>
      </c>
      <c r="C58" s="13">
        <v>27675</v>
      </c>
      <c r="D58" s="13">
        <v>21835</v>
      </c>
      <c r="E58" s="13">
        <v>24628</v>
      </c>
      <c r="F58" s="14" t="s">
        <v>274</v>
      </c>
      <c r="I58" s="2">
        <v>27675</v>
      </c>
    </row>
    <row r="59" spans="1:9" ht="144.6" thickBot="1" x14ac:dyDescent="0.35">
      <c r="A59" s="12" t="s">
        <v>275</v>
      </c>
      <c r="B59" s="13">
        <v>16669</v>
      </c>
      <c r="C59" s="13">
        <v>18169</v>
      </c>
      <c r="D59" s="13">
        <v>14335</v>
      </c>
      <c r="E59" s="13">
        <v>16169</v>
      </c>
      <c r="F59" s="14" t="s">
        <v>276</v>
      </c>
      <c r="I59" s="2">
        <v>18169</v>
      </c>
    </row>
    <row r="60" spans="1:9" ht="144.6" thickBot="1" x14ac:dyDescent="0.35">
      <c r="A60" s="12" t="s">
        <v>277</v>
      </c>
      <c r="B60" s="13">
        <v>17378</v>
      </c>
      <c r="C60" s="13">
        <v>18942</v>
      </c>
      <c r="D60" s="13">
        <v>14945</v>
      </c>
      <c r="E60" s="13">
        <v>16857</v>
      </c>
      <c r="F60" s="14" t="s">
        <v>278</v>
      </c>
      <c r="I60" s="2">
        <v>18942</v>
      </c>
    </row>
    <row r="61" spans="1:9" ht="159" thickBot="1" x14ac:dyDescent="0.35">
      <c r="A61" s="12" t="s">
        <v>279</v>
      </c>
      <c r="B61" s="13">
        <v>17378</v>
      </c>
      <c r="C61" s="13">
        <v>18942</v>
      </c>
      <c r="D61" s="13">
        <v>14945</v>
      </c>
      <c r="E61" s="13">
        <v>16857</v>
      </c>
      <c r="F61" s="14" t="s">
        <v>280</v>
      </c>
      <c r="I61" s="2">
        <v>18942</v>
      </c>
    </row>
    <row r="62" spans="1:9" ht="144.6" thickBot="1" x14ac:dyDescent="0.35">
      <c r="A62" s="12" t="s">
        <v>281</v>
      </c>
      <c r="B62" s="13">
        <v>15428</v>
      </c>
      <c r="C62" s="13">
        <v>16816</v>
      </c>
      <c r="D62" s="13">
        <v>13268</v>
      </c>
      <c r="E62" s="13">
        <v>14965</v>
      </c>
      <c r="F62" s="14" t="s">
        <v>282</v>
      </c>
      <c r="I62" s="2">
        <v>16816</v>
      </c>
    </row>
    <row r="63" spans="1:9" ht="159" thickBot="1" x14ac:dyDescent="0.35">
      <c r="A63" s="12" t="s">
        <v>283</v>
      </c>
      <c r="B63" s="13">
        <v>15428</v>
      </c>
      <c r="C63" s="13">
        <v>16817</v>
      </c>
      <c r="D63" s="13">
        <v>13268</v>
      </c>
      <c r="E63" s="13">
        <v>14965</v>
      </c>
      <c r="F63" s="14" t="s">
        <v>284</v>
      </c>
      <c r="I63" s="2">
        <v>16817</v>
      </c>
    </row>
    <row r="64" spans="1:9" ht="144.6" thickBot="1" x14ac:dyDescent="0.35">
      <c r="A64" s="12" t="s">
        <v>285</v>
      </c>
      <c r="B64" s="13">
        <v>16492</v>
      </c>
      <c r="C64" s="13">
        <v>17976</v>
      </c>
      <c r="D64" s="13">
        <v>14183</v>
      </c>
      <c r="E64" s="13">
        <v>15997</v>
      </c>
      <c r="F64" s="14" t="s">
        <v>286</v>
      </c>
      <c r="I64" s="2">
        <v>17976</v>
      </c>
    </row>
    <row r="65" spans="1:9" ht="159" thickBot="1" x14ac:dyDescent="0.35">
      <c r="A65" s="12" t="s">
        <v>287</v>
      </c>
      <c r="B65" s="13">
        <v>14896</v>
      </c>
      <c r="C65" s="13">
        <v>16237</v>
      </c>
      <c r="D65" s="13">
        <v>12811</v>
      </c>
      <c r="E65" s="13">
        <v>14449</v>
      </c>
      <c r="F65" s="14" t="s">
        <v>288</v>
      </c>
      <c r="I65" s="2">
        <v>16237</v>
      </c>
    </row>
    <row r="66" spans="1:9" ht="144.6" thickBot="1" x14ac:dyDescent="0.35">
      <c r="A66" s="12" t="s">
        <v>289</v>
      </c>
      <c r="B66" s="13">
        <v>17556</v>
      </c>
      <c r="C66" s="13">
        <v>19136</v>
      </c>
      <c r="D66" s="13">
        <v>15098</v>
      </c>
      <c r="E66" s="13">
        <v>17029</v>
      </c>
      <c r="F66" s="14" t="s">
        <v>290</v>
      </c>
      <c r="I66" s="2">
        <v>19136</v>
      </c>
    </row>
    <row r="67" spans="1:9" ht="144.6" thickBot="1" x14ac:dyDescent="0.35">
      <c r="A67" s="12" t="s">
        <v>291</v>
      </c>
      <c r="B67" s="13">
        <v>16669</v>
      </c>
      <c r="C67" s="13">
        <v>18169</v>
      </c>
      <c r="D67" s="13">
        <v>14335</v>
      </c>
      <c r="E67" s="13">
        <v>16169</v>
      </c>
      <c r="F67" s="14" t="s">
        <v>292</v>
      </c>
      <c r="I67" s="2">
        <v>18169</v>
      </c>
    </row>
    <row r="68" spans="1:9" ht="144.6" thickBot="1" x14ac:dyDescent="0.35">
      <c r="A68" s="12" t="s">
        <v>293</v>
      </c>
      <c r="B68" s="13">
        <v>15782</v>
      </c>
      <c r="C68" s="13">
        <v>17202</v>
      </c>
      <c r="D68" s="13">
        <v>13573</v>
      </c>
      <c r="E68" s="13">
        <v>15309</v>
      </c>
      <c r="F68" s="14" t="s">
        <v>294</v>
      </c>
      <c r="I68" s="2">
        <v>17202</v>
      </c>
    </row>
    <row r="69" spans="1:9" ht="144.6" thickBot="1" x14ac:dyDescent="0.35">
      <c r="A69" s="12" t="s">
        <v>295</v>
      </c>
      <c r="B69" s="13">
        <v>16669</v>
      </c>
      <c r="C69" s="13">
        <v>18169</v>
      </c>
      <c r="D69" s="13">
        <v>14335</v>
      </c>
      <c r="E69" s="13">
        <v>16169</v>
      </c>
      <c r="F69" s="14" t="s">
        <v>296</v>
      </c>
      <c r="I69" s="2">
        <v>18169</v>
      </c>
    </row>
    <row r="70" spans="1:9" ht="159" thickBot="1" x14ac:dyDescent="0.35">
      <c r="A70" s="12" t="s">
        <v>297</v>
      </c>
      <c r="B70" s="13">
        <v>14896</v>
      </c>
      <c r="C70" s="13">
        <v>16237</v>
      </c>
      <c r="D70" s="13">
        <v>12811</v>
      </c>
      <c r="E70" s="13">
        <v>14449</v>
      </c>
      <c r="F70" s="14" t="s">
        <v>298</v>
      </c>
      <c r="I70" s="2">
        <v>16237</v>
      </c>
    </row>
    <row r="71" spans="1:9" ht="144.6" thickBot="1" x14ac:dyDescent="0.35">
      <c r="A71" s="12" t="s">
        <v>299</v>
      </c>
      <c r="B71" s="13">
        <v>24117</v>
      </c>
      <c r="C71" s="13">
        <v>26288</v>
      </c>
      <c r="D71" s="13">
        <v>20741</v>
      </c>
      <c r="E71" s="13">
        <v>23393</v>
      </c>
      <c r="F71" s="14" t="s">
        <v>300</v>
      </c>
      <c r="I71" s="2">
        <v>26288</v>
      </c>
    </row>
    <row r="72" spans="1:9" ht="159" thickBot="1" x14ac:dyDescent="0.35">
      <c r="A72" s="12" t="s">
        <v>301</v>
      </c>
      <c r="B72" s="13">
        <v>17556</v>
      </c>
      <c r="C72" s="13">
        <v>19136</v>
      </c>
      <c r="D72" s="13">
        <v>15098</v>
      </c>
      <c r="E72" s="13">
        <v>17029</v>
      </c>
      <c r="F72" s="14" t="s">
        <v>302</v>
      </c>
      <c r="I72" s="2">
        <v>19136</v>
      </c>
    </row>
    <row r="73" spans="1:9" ht="144.6" thickBot="1" x14ac:dyDescent="0.35">
      <c r="A73" s="12" t="s">
        <v>303</v>
      </c>
      <c r="B73" s="13">
        <v>17556</v>
      </c>
      <c r="C73" s="13">
        <v>19136</v>
      </c>
      <c r="D73" s="13">
        <v>15098</v>
      </c>
      <c r="E73" s="13">
        <v>17029</v>
      </c>
      <c r="F73" s="14" t="s">
        <v>304</v>
      </c>
      <c r="I73" s="2">
        <v>19136</v>
      </c>
    </row>
    <row r="74" spans="1:9" ht="144.6" thickBot="1" x14ac:dyDescent="0.35">
      <c r="A74" s="12" t="s">
        <v>305</v>
      </c>
      <c r="B74" s="13">
        <v>14718</v>
      </c>
      <c r="C74" s="13">
        <v>16043</v>
      </c>
      <c r="D74" s="13">
        <v>12784</v>
      </c>
      <c r="E74" s="13">
        <v>14276</v>
      </c>
      <c r="F74" s="14" t="s">
        <v>306</v>
      </c>
      <c r="I74" s="2">
        <v>16043</v>
      </c>
    </row>
    <row r="75" spans="1:9" ht="159" thickBot="1" x14ac:dyDescent="0.35">
      <c r="A75" s="12" t="s">
        <v>307</v>
      </c>
      <c r="B75" s="13">
        <v>17378</v>
      </c>
      <c r="C75" s="13">
        <v>18942</v>
      </c>
      <c r="D75" s="13">
        <v>14945</v>
      </c>
      <c r="E75" s="13">
        <v>16857</v>
      </c>
      <c r="F75" s="14" t="s">
        <v>308</v>
      </c>
      <c r="I75" s="2">
        <v>18942</v>
      </c>
    </row>
    <row r="76" spans="1:9" ht="144.6" thickBot="1" x14ac:dyDescent="0.35">
      <c r="A76" s="12" t="s">
        <v>309</v>
      </c>
      <c r="B76" s="15" t="s">
        <v>310</v>
      </c>
      <c r="C76" s="15" t="s">
        <v>311</v>
      </c>
      <c r="D76" s="15" t="s">
        <v>312</v>
      </c>
      <c r="E76" s="15" t="s">
        <v>313</v>
      </c>
      <c r="F76" s="14" t="s">
        <v>314</v>
      </c>
      <c r="I76" t="s">
        <v>311</v>
      </c>
    </row>
    <row r="77" spans="1:9" ht="130.19999999999999" thickBot="1" x14ac:dyDescent="0.35">
      <c r="A77" s="12" t="s">
        <v>315</v>
      </c>
      <c r="B77" s="13">
        <v>17733</v>
      </c>
      <c r="C77" s="13">
        <v>19329</v>
      </c>
      <c r="D77" s="13">
        <v>15250</v>
      </c>
      <c r="E77" s="13">
        <v>17201</v>
      </c>
      <c r="F77" s="14" t="s">
        <v>316</v>
      </c>
      <c r="I77" s="2">
        <v>19329</v>
      </c>
    </row>
    <row r="78" spans="1:9" ht="159" thickBot="1" x14ac:dyDescent="0.35">
      <c r="A78" s="12" t="s">
        <v>317</v>
      </c>
      <c r="B78" s="13">
        <v>17733</v>
      </c>
      <c r="C78" s="13">
        <v>19329</v>
      </c>
      <c r="D78" s="13">
        <v>15250</v>
      </c>
      <c r="E78" s="13">
        <v>17201</v>
      </c>
      <c r="F78" s="14" t="s">
        <v>318</v>
      </c>
      <c r="I78" s="2">
        <v>19329</v>
      </c>
    </row>
    <row r="79" spans="1:9" ht="159" thickBot="1" x14ac:dyDescent="0.35">
      <c r="A79" s="12" t="s">
        <v>319</v>
      </c>
      <c r="B79" s="13">
        <v>15782</v>
      </c>
      <c r="C79" s="13">
        <v>17202</v>
      </c>
      <c r="D79" s="13">
        <v>13573</v>
      </c>
      <c r="E79" s="13">
        <v>15309</v>
      </c>
      <c r="F79" s="14" t="s">
        <v>320</v>
      </c>
      <c r="I79" s="2">
        <v>17202</v>
      </c>
    </row>
    <row r="80" spans="1:9" ht="159" thickBot="1" x14ac:dyDescent="0.35">
      <c r="A80" s="12" t="s">
        <v>321</v>
      </c>
      <c r="B80" s="13">
        <v>16314</v>
      </c>
      <c r="C80" s="13">
        <v>17782</v>
      </c>
      <c r="D80" s="13">
        <v>14030</v>
      </c>
      <c r="E80" s="13">
        <v>15825</v>
      </c>
      <c r="F80" s="14" t="s">
        <v>322</v>
      </c>
      <c r="I80" s="2">
        <v>17782</v>
      </c>
    </row>
    <row r="81" spans="1:9" ht="159" thickBot="1" x14ac:dyDescent="0.35">
      <c r="A81" s="12" t="s">
        <v>323</v>
      </c>
      <c r="B81" s="13">
        <v>17733</v>
      </c>
      <c r="C81" s="13">
        <v>19329</v>
      </c>
      <c r="D81" s="13">
        <v>15250</v>
      </c>
      <c r="E81" s="13">
        <v>17201</v>
      </c>
      <c r="F81" s="14" t="s">
        <v>324</v>
      </c>
      <c r="I81" s="2">
        <v>19329</v>
      </c>
    </row>
    <row r="82" spans="1:9" ht="130.19999999999999" thickBot="1" x14ac:dyDescent="0.35">
      <c r="A82" s="12" t="s">
        <v>325</v>
      </c>
      <c r="B82" s="13">
        <v>18088</v>
      </c>
      <c r="C82" s="13">
        <v>19716</v>
      </c>
      <c r="D82" s="13">
        <v>15556</v>
      </c>
      <c r="E82" s="13">
        <v>17545</v>
      </c>
      <c r="F82" s="14" t="s">
        <v>326</v>
      </c>
      <c r="I82" s="2">
        <v>19716</v>
      </c>
    </row>
    <row r="83" spans="1:9" ht="187.8" thickBot="1" x14ac:dyDescent="0.35">
      <c r="A83" s="12" t="s">
        <v>327</v>
      </c>
      <c r="B83" s="13">
        <v>22166</v>
      </c>
      <c r="C83" s="13">
        <v>24161</v>
      </c>
      <c r="D83" s="13">
        <v>19063</v>
      </c>
      <c r="E83" s="13">
        <v>21501</v>
      </c>
      <c r="F83" s="14" t="s">
        <v>328</v>
      </c>
      <c r="I83" s="2">
        <v>24161</v>
      </c>
    </row>
    <row r="84" spans="1:9" ht="187.8" thickBot="1" x14ac:dyDescent="0.35">
      <c r="A84" s="12" t="s">
        <v>329</v>
      </c>
      <c r="B84" s="13">
        <v>29389</v>
      </c>
      <c r="C84" s="13">
        <v>32034</v>
      </c>
      <c r="D84" s="13">
        <v>25275</v>
      </c>
      <c r="E84" s="13">
        <v>30706</v>
      </c>
      <c r="F84" s="14" t="s">
        <v>330</v>
      </c>
      <c r="I84" s="2">
        <v>32034</v>
      </c>
    </row>
    <row r="85" spans="1:9" ht="202.2" thickBot="1" x14ac:dyDescent="0.35">
      <c r="A85" s="12" t="s">
        <v>331</v>
      </c>
      <c r="B85" s="13">
        <v>21252</v>
      </c>
      <c r="C85" s="13">
        <v>23165</v>
      </c>
      <c r="D85" s="13">
        <v>18334</v>
      </c>
      <c r="E85" s="13">
        <v>21286</v>
      </c>
      <c r="F85" s="14" t="s">
        <v>332</v>
      </c>
      <c r="I85" s="2">
        <v>23165</v>
      </c>
    </row>
    <row r="86" spans="1:9" ht="173.4" thickBot="1" x14ac:dyDescent="0.35">
      <c r="A86" s="12" t="s">
        <v>333</v>
      </c>
      <c r="B86" s="13">
        <v>46283</v>
      </c>
      <c r="C86" s="13">
        <v>50448</v>
      </c>
      <c r="D86" s="13">
        <v>39803</v>
      </c>
      <c r="E86" s="13">
        <v>44895</v>
      </c>
      <c r="F86" s="14" t="s">
        <v>334</v>
      </c>
      <c r="I86" s="2">
        <v>50448</v>
      </c>
    </row>
    <row r="87" spans="1:9" ht="202.2" thickBot="1" x14ac:dyDescent="0.35">
      <c r="A87" s="12" t="s">
        <v>335</v>
      </c>
      <c r="B87" s="13">
        <v>24294</v>
      </c>
      <c r="C87" s="13">
        <v>26480</v>
      </c>
      <c r="D87" s="13">
        <v>20893</v>
      </c>
      <c r="E87" s="13">
        <v>23565</v>
      </c>
      <c r="F87" s="14" t="s">
        <v>336</v>
      </c>
      <c r="I87" s="2">
        <v>26480</v>
      </c>
    </row>
  </sheetData>
  <mergeCells count="3">
    <mergeCell ref="A1:A2"/>
    <mergeCell ref="B1:E1"/>
    <mergeCell ref="F1:F2"/>
  </mergeCells>
  <hyperlinks>
    <hyperlink ref="F3" r:id="rId1" display="https://www.consultant.ru/document/cons_doc_LAW_407365/"/>
    <hyperlink ref="F4" r:id="rId2" display="https://www.consultant.ru/document/cons_doc_LAW_407365/"/>
    <hyperlink ref="F5" r:id="rId3" display="https://www.consultant.ru/document/cons_doc_LAW_407365/"/>
    <hyperlink ref="F6" r:id="rId4" display="https://www.consultant.ru/document/cons_doc_LAW_407365/"/>
    <hyperlink ref="F7" r:id="rId5" display="https://www.consultant.ru/document/cons_doc_LAW_407365/"/>
    <hyperlink ref="F8" r:id="rId6" display="https://www.consultant.ru/document/cons_doc_LAW_407365/"/>
    <hyperlink ref="F9" r:id="rId7" display="https://www.consultant.ru/document/cons_doc_LAW_407365/"/>
    <hyperlink ref="F10" r:id="rId8" display="https://www.consultant.ru/document/cons_doc_LAW_407365/"/>
    <hyperlink ref="F11" r:id="rId9" display="https://www.consultant.ru/document/cons_doc_LAW_407365/"/>
    <hyperlink ref="F12" r:id="rId10" display="https://www.consultant.ru/document/cons_doc_LAW_407365/"/>
    <hyperlink ref="F13" r:id="rId11" display="https://www.consultant.ru/document/cons_doc_LAW_407365/"/>
    <hyperlink ref="F14" r:id="rId12" display="https://www.consultant.ru/document/cons_doc_LAW_407365/"/>
    <hyperlink ref="F15" r:id="rId13" display="https://www.consultant.ru/document/cons_doc_LAW_407365/"/>
    <hyperlink ref="B16" r:id="rId14" location="dst100004" display="https://www.consultant.ru/document/cons_doc_LAW_407365/ - dst100004"/>
    <hyperlink ref="C16" r:id="rId15" location="dst100004" display="https://www.consultant.ru/document/cons_doc_LAW_407365/ - dst100004"/>
    <hyperlink ref="D16" r:id="rId16" location="dst100004" display="https://www.consultant.ru/document/cons_doc_LAW_407365/ - dst100004"/>
    <hyperlink ref="E16" r:id="rId17" location="dst100004" display="https://www.consultant.ru/document/cons_doc_LAW_407365/ - dst100004"/>
    <hyperlink ref="F16" r:id="rId18" display="https://www.consultant.ru/document/cons_doc_LAW_407365/"/>
    <hyperlink ref="B17" r:id="rId19" location="dst100004" display="https://www.consultant.ru/document/cons_doc_LAW_407365/ - dst100004"/>
    <hyperlink ref="C17" r:id="rId20" location="dst100004" display="https://www.consultant.ru/document/cons_doc_LAW_407365/ - dst100004"/>
    <hyperlink ref="D17" r:id="rId21" location="dst100004" display="https://www.consultant.ru/document/cons_doc_LAW_407365/ - dst100004"/>
    <hyperlink ref="E17" r:id="rId22" location="dst100004" display="https://www.consultant.ru/document/cons_doc_LAW_407365/ - dst100004"/>
    <hyperlink ref="F17" r:id="rId23" display="https://www.consultant.ru/document/cons_doc_LAW_407365/"/>
    <hyperlink ref="F18" r:id="rId24" display="https://www.consultant.ru/document/cons_doc_LAW_407365/"/>
    <hyperlink ref="F19" r:id="rId25" display="https://www.consultant.ru/document/cons_doc_LAW_407365/"/>
    <hyperlink ref="F20" r:id="rId26" display="https://www.consultant.ru/document/cons_doc_LAW_407365/"/>
    <hyperlink ref="B21" r:id="rId27" location="dst100004" display="https://www.consultant.ru/document/cons_doc_LAW_407365/ - dst100004"/>
    <hyperlink ref="C21" r:id="rId28" location="dst100004" display="https://www.consultant.ru/document/cons_doc_LAW_407365/ - dst100004"/>
    <hyperlink ref="D21" r:id="rId29" location="dst100004" display="https://www.consultant.ru/document/cons_doc_LAW_407365/ - dst100004"/>
    <hyperlink ref="E21" r:id="rId30" location="dst100004" display="https://www.consultant.ru/document/cons_doc_LAW_407365/ - dst100004"/>
    <hyperlink ref="F21" r:id="rId31" display="https://www.consultant.ru/document/cons_doc_LAW_407365/"/>
    <hyperlink ref="F22" r:id="rId32" display="https://www.consultant.ru/document/cons_doc_LAW_407365/"/>
    <hyperlink ref="F23" r:id="rId33" display="https://www.consultant.ru/document/cons_doc_LAW_407365/"/>
    <hyperlink ref="F24" r:id="rId34" display="https://www.consultant.ru/document/cons_doc_LAW_407365/"/>
    <hyperlink ref="F25" r:id="rId35" display="https://www.consultant.ru/document/cons_doc_LAW_407365/"/>
    <hyperlink ref="F26" r:id="rId36" display="https://www.consultant.ru/document/cons_doc_LAW_407365/"/>
    <hyperlink ref="F27" r:id="rId37" display="https://www.consultant.ru/document/cons_doc_LAW_407365/"/>
    <hyperlink ref="F28" r:id="rId38" display="https://www.consultant.ru/document/cons_doc_LAW_407365/"/>
    <hyperlink ref="F29" r:id="rId39" display="https://www.consultant.ru/document/cons_doc_LAW_407365/"/>
    <hyperlink ref="F30" r:id="rId40" display="https://www.consultant.ru/document/cons_doc_LAW_407365/"/>
    <hyperlink ref="F31" r:id="rId41" display="https://www.consultant.ru/document/cons_doc_LAW_407365/"/>
    <hyperlink ref="F32" r:id="rId42" display="https://www.consultant.ru/document/cons_doc_LAW_407365/"/>
    <hyperlink ref="B33" r:id="rId43" location="dst100004" display="https://www.consultant.ru/document/cons_doc_LAW_407365/ - dst100004"/>
    <hyperlink ref="C33" r:id="rId44" location="dst100004" display="https://www.consultant.ru/document/cons_doc_LAW_407365/ - dst100004"/>
    <hyperlink ref="D33" r:id="rId45" location="dst100004" display="https://www.consultant.ru/document/cons_doc_LAW_407365/ - dst100004"/>
    <hyperlink ref="E33" r:id="rId46" location="dst100004" display="https://www.consultant.ru/document/cons_doc_LAW_407365/ - dst100004"/>
    <hyperlink ref="F33" r:id="rId47" display="https://www.consultant.ru/document/cons_doc_LAW_407365/"/>
    <hyperlink ref="F34" r:id="rId48" display="https://www.consultant.ru/document/cons_doc_LAW_407365/"/>
    <hyperlink ref="F35" r:id="rId49" display="https://www.consultant.ru/document/cons_doc_LAW_407365/"/>
    <hyperlink ref="F36" r:id="rId50" display="https://www.consultant.ru/document/cons_doc_LAW_407365/"/>
    <hyperlink ref="F37" r:id="rId51" display="https://www.consultant.ru/document/cons_doc_LAW_407365/"/>
    <hyperlink ref="B38" r:id="rId52" location="dst100004" display="https://www.consultant.ru/document/cons_doc_LAW_407365/ - dst100004"/>
    <hyperlink ref="C38" r:id="rId53" location="dst100004" display="https://www.consultant.ru/document/cons_doc_LAW_407365/ - dst100004"/>
    <hyperlink ref="D38" r:id="rId54" location="dst100004" display="https://www.consultant.ru/document/cons_doc_LAW_407365/ - dst100004"/>
    <hyperlink ref="E38" r:id="rId55" location="dst100004" display="https://www.consultant.ru/document/cons_doc_LAW_407365/ - dst100004"/>
    <hyperlink ref="F38" r:id="rId56" display="https://www.consultant.ru/document/cons_doc_LAW_407365/"/>
    <hyperlink ref="B39" r:id="rId57" location="dst100004" display="https://www.consultant.ru/document/cons_doc_LAW_407365/ - dst100004"/>
    <hyperlink ref="C39" r:id="rId58" location="dst100004" display="https://www.consultant.ru/document/cons_doc_LAW_407365/ - dst100004"/>
    <hyperlink ref="D39" r:id="rId59" location="dst100004" display="https://www.consultant.ru/document/cons_doc_LAW_407365/ - dst100004"/>
    <hyperlink ref="E39" r:id="rId60" location="dst100004" display="https://www.consultant.ru/document/cons_doc_LAW_407365/ - dst100004"/>
    <hyperlink ref="F39" r:id="rId61" display="https://www.consultant.ru/document/cons_doc_LAW_407365/"/>
    <hyperlink ref="F40" r:id="rId62" display="https://www.consultant.ru/document/cons_doc_LAW_407365/"/>
    <hyperlink ref="F41" r:id="rId63" display="https://www.consultant.ru/document/cons_doc_LAW_407365/"/>
    <hyperlink ref="F42" r:id="rId64" display="https://www.consultant.ru/document/cons_doc_LAW_407365/"/>
    <hyperlink ref="F43" r:id="rId65" display="https://www.consultant.ru/document/cons_doc_LAW_407365/"/>
    <hyperlink ref="F44" r:id="rId66" display="https://www.consultant.ru/document/cons_doc_LAW_407365/"/>
    <hyperlink ref="F45" r:id="rId67" display="https://www.consultant.ru/document/cons_doc_LAW_407365/"/>
    <hyperlink ref="F46" r:id="rId68" display="https://www.consultant.ru/document/cons_doc_LAW_407365/"/>
    <hyperlink ref="F47" r:id="rId69" display="https://www.consultant.ru/document/cons_doc_LAW_407365/"/>
    <hyperlink ref="B48" r:id="rId70" location="dst100004" display="https://www.consultant.ru/document/cons_doc_LAW_407365/ - dst100004"/>
    <hyperlink ref="C48" r:id="rId71" location="dst100004" display="https://www.consultant.ru/document/cons_doc_LAW_407365/ - dst100004"/>
    <hyperlink ref="D48" r:id="rId72" location="dst100004" display="https://www.consultant.ru/document/cons_doc_LAW_407365/ - dst100004"/>
    <hyperlink ref="E48" r:id="rId73" location="dst100004" display="https://www.consultant.ru/document/cons_doc_LAW_407365/ - dst100004"/>
    <hyperlink ref="F48" r:id="rId74" display="https://www.consultant.ru/document/cons_doc_LAW_407365/"/>
    <hyperlink ref="F49" r:id="rId75" display="https://www.consultant.ru/document/cons_doc_LAW_407365/"/>
    <hyperlink ref="F50" r:id="rId76" display="https://www.consultant.ru/document/cons_doc_LAW_407365/"/>
    <hyperlink ref="F51" r:id="rId77" display="https://www.consultant.ru/document/cons_doc_LAW_407365/"/>
    <hyperlink ref="F52" r:id="rId78" display="https://www.consultant.ru/document/cons_doc_LAW_407365/"/>
    <hyperlink ref="F53" r:id="rId79" display="https://www.consultant.ru/document/cons_doc_LAW_407365/"/>
    <hyperlink ref="F54" r:id="rId80" display="https://www.consultant.ru/document/cons_doc_LAW_407365/"/>
    <hyperlink ref="F55" r:id="rId81" display="https://www.consultant.ru/document/cons_doc_LAW_407365/"/>
    <hyperlink ref="F56" r:id="rId82" display="https://www.consultant.ru/document/cons_doc_LAW_407365/"/>
    <hyperlink ref="F57" r:id="rId83" display="https://www.consultant.ru/document/cons_doc_LAW_407365/"/>
    <hyperlink ref="F58" r:id="rId84" display="https://www.consultant.ru/document/cons_doc_LAW_407365/"/>
    <hyperlink ref="F59" r:id="rId85" display="https://www.consultant.ru/document/cons_doc_LAW_407365/"/>
    <hyperlink ref="F60" r:id="rId86" display="https://www.consultant.ru/document/cons_doc_LAW_407365/"/>
    <hyperlink ref="F61" r:id="rId87" display="https://www.consultant.ru/document/cons_doc_LAW_407365/"/>
    <hyperlink ref="F62" r:id="rId88" display="https://www.consultant.ru/document/cons_doc_LAW_407365/"/>
    <hyperlink ref="F63" r:id="rId89" display="https://www.consultant.ru/document/cons_doc_LAW_407365/"/>
    <hyperlink ref="F64" r:id="rId90" display="https://www.consultant.ru/document/cons_doc_LAW_407365/"/>
    <hyperlink ref="F65" r:id="rId91" display="https://www.consultant.ru/document/cons_doc_LAW_407365/"/>
    <hyperlink ref="F66" r:id="rId92" display="https://www.consultant.ru/document/cons_doc_LAW_407365/"/>
    <hyperlink ref="F67" r:id="rId93" display="https://www.consultant.ru/document/cons_doc_LAW_407365/"/>
    <hyperlink ref="F68" r:id="rId94" display="https://www.consultant.ru/document/cons_doc_LAW_407365/"/>
    <hyperlink ref="F69" r:id="rId95" display="https://www.consultant.ru/document/cons_doc_LAW_407365/"/>
    <hyperlink ref="F70" r:id="rId96" display="https://www.consultant.ru/document/cons_doc_LAW_407365/"/>
    <hyperlink ref="F71" r:id="rId97" display="https://www.consultant.ru/document/cons_doc_LAW_407365/"/>
    <hyperlink ref="F72" r:id="rId98" display="https://www.consultant.ru/document/cons_doc_LAW_407365/"/>
    <hyperlink ref="F73" r:id="rId99" display="https://www.consultant.ru/document/cons_doc_LAW_407365/"/>
    <hyperlink ref="F74" r:id="rId100" display="https://www.consultant.ru/document/cons_doc_LAW_407365/"/>
    <hyperlink ref="F75" r:id="rId101" display="https://www.consultant.ru/document/cons_doc_LAW_407365/"/>
    <hyperlink ref="B76" r:id="rId102" location="dst100004" display="https://www.consultant.ru/document/cons_doc_LAW_407365/ - dst100004"/>
    <hyperlink ref="C76" r:id="rId103" location="dst100004" display="https://www.consultant.ru/document/cons_doc_LAW_407365/ - dst100004"/>
    <hyperlink ref="D76" r:id="rId104" location="dst100004" display="https://www.consultant.ru/document/cons_doc_LAW_407365/ - dst100004"/>
    <hyperlink ref="E76" r:id="rId105" location="dst100004" display="https://www.consultant.ru/document/cons_doc_LAW_407365/ - dst100004"/>
    <hyperlink ref="F76" r:id="rId106" display="https://www.consultant.ru/document/cons_doc_LAW_407365/"/>
    <hyperlink ref="F77" r:id="rId107" display="https://www.consultant.ru/document/cons_doc_LAW_407365/"/>
    <hyperlink ref="F78" r:id="rId108" display="https://www.consultant.ru/document/cons_doc_LAW_407365/"/>
    <hyperlink ref="F79" r:id="rId109" display="https://www.consultant.ru/document/cons_doc_LAW_407365/"/>
    <hyperlink ref="F80" r:id="rId110" display="https://www.consultant.ru/document/cons_doc_LAW_407365/"/>
    <hyperlink ref="F81" r:id="rId111" display="https://www.consultant.ru/document/cons_doc_LAW_407365/"/>
    <hyperlink ref="F82" r:id="rId112" display="https://www.consultant.ru/document/cons_doc_LAW_407365/"/>
    <hyperlink ref="F83" r:id="rId113" display="https://www.consultant.ru/document/cons_doc_LAW_407365/"/>
    <hyperlink ref="F84" r:id="rId114" display="https://www.consultant.ru/document/cons_doc_LAW_407365/"/>
    <hyperlink ref="F85" r:id="rId115" display="https://www.consultant.ru/document/cons_doc_LAW_407365/"/>
    <hyperlink ref="F86" r:id="rId116" display="https://www.consultant.ru/document/cons_doc_LAW_407365/"/>
    <hyperlink ref="F87" r:id="rId117" display="https://www.consultant.ru/document/cons_doc_LAW_407365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Sheet</vt:lpstr>
      <vt:lpstr>Лист3</vt:lpstr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Владимир Скоробогатов</cp:lastModifiedBy>
  <dcterms:created xsi:type="dcterms:W3CDTF">2025-04-09T16:43:02Z</dcterms:created>
  <dcterms:modified xsi:type="dcterms:W3CDTF">2025-04-10T09:27:26Z</dcterms:modified>
</cp:coreProperties>
</file>